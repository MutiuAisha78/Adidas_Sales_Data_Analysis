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ISHA\Downloads\"/>
    </mc:Choice>
  </mc:AlternateContent>
  <xr:revisionPtr revIDLastSave="0" documentId="8_{AC822DAE-9769-4E1F-AAC5-1395AD850EA1}" xr6:coauthVersionLast="47" xr6:coauthVersionMax="47" xr10:uidLastSave="{00000000-0000-0000-0000-000000000000}"/>
  <bookViews>
    <workbookView xWindow="-120" yWindow="-120" windowWidth="20730" windowHeight="11040" firstSheet="2" activeTab="3" xr2:uid="{00000000-000D-0000-FFFF-FFFF00000000}"/>
  </bookViews>
  <sheets>
    <sheet name="trend" sheetId="10" r:id="rId1"/>
    <sheet name="Sheet7" sheetId="8" r:id="rId2"/>
    <sheet name="Pivot_table" sheetId="15" r:id="rId3"/>
    <sheet name="Dashboard" sheetId="19" r:id="rId4"/>
    <sheet name="Data Sales Adidas" sheetId="1" r:id="rId5"/>
  </sheets>
  <definedNames>
    <definedName name="NativeTimeline_Invoice_Date">#N/A</definedName>
    <definedName name="Slicer_Product">#N/A</definedName>
    <definedName name="Slicer_Region">#N/A</definedName>
    <definedName name="Slicer_Region1">#N/A</definedName>
    <definedName name="Slicer_Retailer">#N/A</definedName>
    <definedName name="Slicer_Sales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BBW6chv6A9cZ4vJmN3iNZpiIGnb36ZVVIQqEWeWovoA="/>
    </ext>
  </extLst>
</workbook>
</file>

<file path=xl/calcChain.xml><?xml version="1.0" encoding="utf-8"?>
<calcChain xmlns="http://schemas.openxmlformats.org/spreadsheetml/2006/main">
  <c r="G8" i="19" l="1"/>
  <c r="D8" i="19"/>
  <c r="B8" i="19"/>
  <c r="B4" i="15" l="1"/>
  <c r="K8" i="19" l="1"/>
</calcChain>
</file>

<file path=xl/sharedStrings.xml><?xml version="1.0" encoding="utf-8"?>
<sst xmlns="http://schemas.openxmlformats.org/spreadsheetml/2006/main" count="58077" uniqueCount="163">
  <si>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</si>
  <si>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</si>
  <si>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</si>
  <si>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</si>
  <si>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</si>
  <si>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</si>
  <si>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</si>
  <si>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</si>
  <si>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</si>
  <si>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</si>
  <si>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</si>
  <si>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</si>
  <si>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</si>
  <si>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</si>
  <si>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</si>
  <si>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</si>
  <si>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</si>
  <si>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</si>
  <si>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</si>
  <si>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</si>
  <si>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</si>
  <si>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</si>
  <si>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</si>
  <si>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</si>
  <si>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</si>
  <si>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</si>
  <si>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</si>
  <si>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</si>
  <si>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</si>
  <si>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</si>
  <si>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</si>
  <si>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</si>
  <si>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</si>
  <si>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</si>
  <si>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</si>
  <si>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</si>
  <si>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</si>
  <si>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</si>
  <si>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</si>
  <si>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</si>
  <si>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</si>
  <si>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</si>
  <si>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</si>
  <si>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</si>
  <si>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</si>
  <si>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</si>
  <si>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</si>
  <si>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</si>
  <si>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</si>
  <si>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</si>
  <si>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</si>
  <si>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</si>
  <si>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</si>
  <si>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</si>
  <si>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</si>
  <si>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</si>
  <si>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</si>
  <si>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</si>
  <si>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</si>
  <si>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</si>
  <si>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</si>
  <si>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</si>
  <si>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</si>
  <si>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</si>
  <si>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</si>
  <si>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</si>
  <si>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</si>
  <si>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</si>
  <si>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</si>
  <si>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</si>
  <si>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</si>
  <si>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</si>
  <si>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</si>
  <si>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</si>
  <si>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</si>
  <si>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</si>
  <si>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</si>
  <si>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</si>
  <si>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</si>
  <si>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</si>
  <si>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</si>
  <si>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</si>
  <si>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</si>
  <si>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</si>
  <si>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</si>
  <si>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</si>
  <si>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</si>
  <si>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</si>
  <si>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</si>
  <si>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</si>
  <si>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</si>
  <si>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</si>
  <si>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</si>
  <si>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</si>
  <si>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</si>
  <si>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</si>
  <si>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</si>
  <si>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</si>
  <si>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</si>
  <si>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</si>
  <si>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</si>
  <si>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</si>
  <si>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</si>
  <si>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</si>
  <si>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</si>
  <si>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</si>
  <si>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</si>
  <si>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</si>
  <si>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</si>
  <si>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</si>
  <si>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</si>
  <si>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</si>
  <si>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</si>
  <si>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</si>
  <si>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</si>
  <si>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</si>
  <si>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</si>
  <si>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</si>
  <si>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</si>
  <si>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</si>
  <si>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</si>
  <si>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</si>
  <si>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</si>
  <si>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</si>
  <si>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</si>
  <si>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</si>
  <si>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</si>
  <si>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</si>
  <si>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</si>
  <si>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</si>
  <si>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</si>
  <si>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</si>
  <si>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</si>
  <si>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</si>
  <si>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</si>
  <si>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</si>
  <si>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</si>
  <si>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</si>
  <si>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Qtr1</t>
  </si>
  <si>
    <t>Jan</t>
  </si>
  <si>
    <t>Feb</t>
  </si>
  <si>
    <t>Mar</t>
  </si>
  <si>
    <t>Qtr2</t>
  </si>
  <si>
    <t>Apr</t>
  </si>
  <si>
    <t>May</t>
  </si>
  <si>
    <t>Jun</t>
  </si>
  <si>
    <t>Qtr3</t>
  </si>
  <si>
    <t>Jul</t>
  </si>
  <si>
    <t>Aug</t>
  </si>
  <si>
    <t>Sep</t>
  </si>
  <si>
    <t>Qtr4</t>
  </si>
  <si>
    <t>Oct</t>
  </si>
  <si>
    <t>Nov</t>
  </si>
  <si>
    <t>Dec</t>
  </si>
  <si>
    <t>Sales by product category</t>
  </si>
  <si>
    <t>Sales by region</t>
  </si>
  <si>
    <t>Sales by retailer</t>
  </si>
  <si>
    <t>Sales method</t>
  </si>
  <si>
    <t>Column Labels</t>
  </si>
  <si>
    <t>2020</t>
  </si>
  <si>
    <t>Count of Units Sold</t>
  </si>
  <si>
    <t>Sum of Operating Profit</t>
  </si>
  <si>
    <t>Average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</si>
</sst>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d/m/yyyy"/>
    <numFmt numFmtId="165" formatCode="_(&quot;$&quot;* #,##0_);_(&quot;$&quot;* \(#,##0\);_(&quot;$&quot;* &quot;-&quot;??_);_(@_)"/>
    <numFmt numFmtId="166" formatCode="_([$$-409]* #,##0_);_([$$-409]* \(#,##0\);_([$$-409]* &quot;-&quot;??_);_(@_)"/>
    <numFmt numFmtId="167" formatCode="&quot;$&quot;#,##0"/>
  </numFmts>
  <fonts count="8">
    <font>
      <sz val="11"/>
      <color theme="1"/>
      <name val="Calibri"/>
      <scheme val="minor"/>
    </font>
    <font>
      <sz val="11"/>
      <color theme="1"/>
      <name val="Calibri"/>
      <family val="2"/>
      <scheme val="minor"/>
    </font>
    <font>
      <b/>
      <sz val="22"/>
      <color theme="1"/>
      <name val="Calibri"/>
    </font>
    <font>
      <b/>
      <sz val="18"/>
      <color theme="1"/>
      <name val="Calibri"/>
    </font>
    <font>
      <sz val="11"/>
      <name val="Calibri"/>
    </font>
    <font>
      <sz val="11"/>
      <color theme="1"/>
      <name val="Calibri"/>
    </font>
    <font>
      <b/>
      <sz val="11"/>
      <color theme="0"/>
      <name val="Calibri"/>
    </font>
    <font>
      <sz val="11"/>
      <color theme="1"/>
      <name val="Calibri"/>
      <scheme val="minor"/>
    </font>
  </fonts>
  <fills count="3">
    <fill>
      <patternFill patternType="none"/>
    </fill>
    <fill>
      <patternFill patternType="gray125"/>
    </fill>
    <fill>
      <patternFill patternType="solid">
        <fgColor rgb="FF013693"/>
        <bgColor rgb="FF013693"/>
      </patternFill>
    </fill>
  </fills>
  <borders count="3">
    <border>
      <left/>
      <right/>
      <top/>
      <bottom/>
      <diagonal/>
    </border>
    <border>
      <left/>
      <right/>
      <top/>
      <bottom style="thin">
        <color rgb="FF000000"/>
      </bottom>
      <diagonal/>
    </border>
    <border>
      <left/>
      <right/>
      <top/>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28">
    <xf numFmtId="0" fontId="0" fillId="0" borderId="0" xfId="0" applyFont="1" applyAlignment="1"/>
    <xf numFmtId="0" fontId="3" fillId="0" borderId="1" xfId="0" applyFont="1" applyBorder="1"/>
    <xf numFmtId="0" fontId="5" fillId="0" borderId="1" xfId="0" applyFont="1" applyBorder="1"/>
    <xf numFmtId="0" fontId="6" fillId="2" borderId="2" xfId="0" applyFont="1" applyFill="1" applyBorder="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5" fillId="0" borderId="0" xfId="0" applyFont="1" applyAlignment="1">
      <alignment horizontal="left"/>
    </xf>
    <xf numFmtId="8" fontId="5" fillId="0" borderId="0" xfId="0" applyNumberFormat="1" applyFont="1" applyAlignment="1">
      <alignment horizontal="center"/>
    </xf>
    <xf numFmtId="3" fontId="5" fillId="0" borderId="0" xfId="0" applyNumberFormat="1" applyFont="1" applyAlignment="1">
      <alignment horizontal="center"/>
    </xf>
    <xf numFmtId="6" fontId="5" fillId="0" borderId="0" xfId="0" applyNumberFormat="1" applyFont="1" applyAlignment="1">
      <alignment horizontal="center"/>
    </xf>
    <xf numFmtId="9" fontId="5" fillId="0" borderId="0" xfId="0" applyNumberFormat="1" applyFont="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164" fontId="0" fillId="0" borderId="0" xfId="0" applyNumberFormat="1" applyFont="1" applyAlignment="1">
      <alignment horizontal="left"/>
    </xf>
    <xf numFmtId="0" fontId="0" fillId="0" borderId="0" xfId="0" applyFont="1" applyAlignment="1"/>
    <xf numFmtId="44" fontId="0" fillId="0" borderId="0" xfId="0" applyNumberFormat="1" applyFont="1" applyAlignment="1"/>
    <xf numFmtId="165" fontId="0" fillId="0" borderId="0" xfId="0" applyNumberFormat="1" applyFont="1" applyAlignment="1"/>
    <xf numFmtId="0" fontId="1" fillId="0" borderId="0" xfId="0" applyFont="1" applyAlignment="1"/>
    <xf numFmtId="9" fontId="0" fillId="0" borderId="0" xfId="2" applyFont="1" applyAlignment="1"/>
    <xf numFmtId="166" fontId="0" fillId="0" borderId="0" xfId="1" applyNumberFormat="1" applyFont="1" applyAlignment="1"/>
    <xf numFmtId="167" fontId="0" fillId="0" borderId="0" xfId="1" applyNumberFormat="1" applyFont="1" applyAlignment="1"/>
    <xf numFmtId="9" fontId="0" fillId="0" borderId="0" xfId="0" applyNumberFormat="1" applyFont="1" applyAlignment="1"/>
    <xf numFmtId="167" fontId="0" fillId="0" borderId="0" xfId="0" applyNumberFormat="1" applyFont="1" applyAlignment="1"/>
    <xf numFmtId="0" fontId="2" fillId="0" borderId="0" xfId="0" applyFont="1" applyAlignment="1">
      <alignment horizontal="left" vertical="center"/>
    </xf>
    <xf numFmtId="0" fontId="0" fillId="0" borderId="0" xfId="0" applyFont="1" applyAlignment="1"/>
    <xf numFmtId="0" fontId="4" fillId="0" borderId="1" xfId="0" applyFont="1" applyBorder="1"/>
  </cellXfs>
  <cellStyles count="3">
    <cellStyle name="Currency" xfId="1" builtinId="4"/>
    <cellStyle name="Normal" xfId="0" builtinId="0"/>
    <cellStyle name="Percent" xfId="2" builtinId="5"/>
  </cellStyles>
  <dxfs count="8">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165" formatCode="_(&quot;$&quot;* #,##0_);_(&quot;$&quot;* \(#,##0\);_(&quot;$&quot;*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[Adidas_Sales_Analysis.xlsx]trend!PivotTable11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trend!$A$4:$A$28</c:f>
              <c:multiLvlStrCache>
                <c:ptCount val="12"/>
                <c:lvl>
                  <c:pt idx="0">
                    <c:v>Qtr1</c:v>
                  </c:pt>
                  <c:pt idx="1">
                    <c:v>Qtr1</c:v>
                  </c:pt>
                  <c:pt idx="2">
                    <c:v>Qtr1</c:v>
                  </c:pt>
                  <c:pt idx="3">
                    <c:v>Qtr2</c:v>
                  </c:pt>
                  <c:pt idx="4">
                    <c:v>Qtr2</c:v>
                  </c:pt>
                  <c:pt idx="5">
                    <c:v>Qtr2</c:v>
                  </c:pt>
                  <c:pt idx="6">
                    <c:v>Qtr3</c:v>
                  </c:pt>
                  <c:pt idx="7">
                    <c:v>Qtr3</c:v>
                  </c:pt>
                  <c:pt idx="8">
                    <c:v>Qtr3</c:v>
                  </c:pt>
                  <c:pt idx="9">
                    <c:v>Qtr4</c:v>
                  </c:pt>
                  <c:pt idx="10">
                    <c:v>Qtr4</c:v>
                  </c:pt>
                  <c:pt idx="11">
                    <c:v>Qtr4</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trend!$B$4:$B$28</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EEBD-40BB-AB49-9A550FA11AAE}"/>
            </c:ext>
          </c:extLst>
        </c:ser>
        <c:dLbls>
          <c:showLegendKey val="0"/>
          <c:showVal val="0"/>
          <c:showCatName val="0"/>
          <c:showSerName val="0"/>
          <c:showPercent val="0"/>
          <c:showBubbleSize val="0"/>
        </c:dLbls>
        <c:marker val="1"/>
        <c:smooth val="0"/>
        <c:axId val="1230736320"/>
        <c:axId val="1230742144"/>
      </c:lineChart>
      <c:catAx>
        <c:axId val="12307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42144"/>
        <c:crosses val="autoZero"/>
        <c:auto val="1"/>
        <c:lblAlgn val="ctr"/>
        <c:lblOffset val="100"/>
        <c:noMultiLvlLbl val="0"/>
      </c:catAx>
      <c:valAx>
        <c:axId val="123074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3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[Adidas_Sales_Analysis.xlsx]Sheet7!PivotTable16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Sheet7!$B$13:$B$14</c:f>
              <c:strCache>
                <c:ptCount val="1"/>
                <c:pt idx="0">
                  <c:v>Outlet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Sheet7!$A$15:$A$21</c:f>
              <c:strCache>
                <c:ptCount val="6"/>
                <c:pt idx="0">
                  <c:v>West Gear</c:v>
                </c:pt>
                <c:pt idx="1">
                  <c:v>Walmart</c:v>
                </c:pt>
                <c:pt idx="2">
                  <c:v>Sports Direct</c:v>
                </c:pt>
                <c:pt idx="3">
                  <c:v>Kohl's</c:v>
                </c:pt>
                <c:pt idx="4">
                  <c:v>Foot Locker</c:v>
                </c:pt>
                <c:pt idx="5">
                  <c:v>Amazon</c:v>
                </c:pt>
              </c:strCache>
            </c:strRef>
          </c:cat>
          <c:val>
            <c:numRef>
              <c:f>Sheet7!$B$15:$B$21</c:f>
              <c:numCache>
                <c:formatCode>General</c:formatCode>
                <c:ptCount val="6"/>
                <c:pt idx="0">
                  <c:v>45705692</c:v>
                </c:pt>
                <c:pt idx="1">
                  <c:v>43077666</c:v>
                </c:pt>
                <c:pt idx="2">
                  <c:v>68196500</c:v>
                </c:pt>
                <c:pt idx="3">
                  <c:v>41556274</c:v>
                </c:pt>
                <c:pt idx="4">
                  <c:v>70626430</c:v>
                </c:pt>
                <c:pt idx="5">
                  <c:v>26422931</c:v>
                </c:pt>
              </c:numCache>
            </c:numRef>
          </c:val>
          <c:extLst>
            <c:ext xmlns:c16="http://schemas.microsoft.com/office/drawing/2014/chart" uri="{C3380CC4-5D6E-409C-BE32-E72D297353CC}">
              <c16:uniqueId val="{00000000-C0A7-4B4C-B4BA-3A619BD1ABA5}"/>
            </c:ext>
          </c:extLst>
        </c:ser>
        <c:ser>
          <c:idx val="1"/>
          <c:order val="1"/>
          <c:tx>
            <c:strRef>
              <c:f>Sheet7!$C$13:$C$14</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Sheet7!$A$15:$A$21</c:f>
              <c:strCache>
                <c:ptCount val="6"/>
                <c:pt idx="0">
                  <c:v>West Gear</c:v>
                </c:pt>
                <c:pt idx="1">
                  <c:v>Walmart</c:v>
                </c:pt>
                <c:pt idx="2">
                  <c:v>Sports Direct</c:v>
                </c:pt>
                <c:pt idx="3">
                  <c:v>Kohl's</c:v>
                </c:pt>
                <c:pt idx="4">
                  <c:v>Foot Locker</c:v>
                </c:pt>
                <c:pt idx="5">
                  <c:v>Amazon</c:v>
                </c:pt>
              </c:strCache>
            </c:strRef>
          </c:cat>
          <c:val>
            <c:numRef>
              <c:f>Sheet7!$C$15:$C$21</c:f>
              <c:numCache>
                <c:formatCode>General</c:formatCode>
                <c:ptCount val="6"/>
                <c:pt idx="0">
                  <c:v>40532141</c:v>
                </c:pt>
                <c:pt idx="1">
                  <c:v>15069494</c:v>
                </c:pt>
                <c:pt idx="2">
                  <c:v>59225997</c:v>
                </c:pt>
                <c:pt idx="3">
                  <c:v>30992229</c:v>
                </c:pt>
                <c:pt idx="4">
                  <c:v>72943290</c:v>
                </c:pt>
                <c:pt idx="5">
                  <c:v>28909731</c:v>
                </c:pt>
              </c:numCache>
            </c:numRef>
          </c:val>
          <c:extLst>
            <c:ext xmlns:c16="http://schemas.microsoft.com/office/drawing/2014/chart" uri="{C3380CC4-5D6E-409C-BE32-E72D297353CC}">
              <c16:uniqueId val="{00000001-C0A7-4B4C-B4BA-3A619BD1ABA5}"/>
            </c:ext>
          </c:extLst>
        </c:ser>
        <c:ser>
          <c:idx val="2"/>
          <c:order val="2"/>
          <c:tx>
            <c:strRef>
              <c:f>Sheet7!$D$13:$D$14</c:f>
              <c:strCache>
                <c:ptCount val="1"/>
                <c:pt idx="0">
                  <c:v>In-store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Sheet7!$A$15:$A$21</c:f>
              <c:strCache>
                <c:ptCount val="6"/>
                <c:pt idx="0">
                  <c:v>West Gear</c:v>
                </c:pt>
                <c:pt idx="1">
                  <c:v>Walmart</c:v>
                </c:pt>
                <c:pt idx="2">
                  <c:v>Sports Direct</c:v>
                </c:pt>
                <c:pt idx="3">
                  <c:v>Kohl's</c:v>
                </c:pt>
                <c:pt idx="4">
                  <c:v>Foot Locker</c:v>
                </c:pt>
                <c:pt idx="5">
                  <c:v>Amazon</c:v>
                </c:pt>
              </c:strCache>
            </c:strRef>
          </c:cat>
          <c:val>
            <c:numRef>
              <c:f>Sheet7!$D$15:$D$21</c:f>
              <c:numCache>
                <c:formatCode>General</c:formatCode>
                <c:ptCount val="6"/>
                <c:pt idx="0">
                  <c:v>156726500</c:v>
                </c:pt>
                <c:pt idx="1">
                  <c:v>16411250</c:v>
                </c:pt>
                <c:pt idx="2">
                  <c:v>55048500</c:v>
                </c:pt>
                <c:pt idx="3">
                  <c:v>29566250</c:v>
                </c:pt>
                <c:pt idx="4">
                  <c:v>76525000</c:v>
                </c:pt>
                <c:pt idx="5">
                  <c:v>22366250</c:v>
                </c:pt>
              </c:numCache>
            </c:numRef>
          </c:val>
          <c:extLst>
            <c:ext xmlns:c16="http://schemas.microsoft.com/office/drawing/2014/chart" uri="{C3380CC4-5D6E-409C-BE32-E72D297353CC}">
              <c16:uniqueId val="{00000002-C0A7-4B4C-B4BA-3A619BD1ABA5}"/>
            </c:ext>
          </c:extLst>
        </c:ser>
        <c:dLbls>
          <c:showLegendKey val="0"/>
          <c:showVal val="0"/>
          <c:showCatName val="0"/>
          <c:showSerName val="0"/>
          <c:showPercent val="0"/>
          <c:showBubbleSize val="0"/>
        </c:dLbls>
        <c:gapWidth val="100"/>
        <c:overlap val="-24"/>
        <c:axId val="1167472352"/>
        <c:axId val="1167472768"/>
      </c:barChart>
      <c:catAx>
        <c:axId val="116747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7472768"/>
        <c:crosses val="autoZero"/>
        <c:auto val="1"/>
        <c:lblAlgn val="ctr"/>
        <c:lblOffset val="100"/>
        <c:noMultiLvlLbl val="0"/>
      </c:catAx>
      <c:valAx>
        <c:axId val="1167472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74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[Adidas_Sales_Analysis.xlsx]Pivot_table!PivotTable2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a:t>
            </a:r>
            <a:r>
              <a:rPr lang="en-US" sz="1400" b="1" baseline="0"/>
              <a:t> sales by product category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Pivot_table!$B$7</c:f>
              <c:strCache>
                <c:ptCount val="1"/>
                <c:pt idx="0">
                  <c:v>Total</c:v>
                </c:pt>
              </c:strCache>
            </c:strRef>
          </c:tx>
          <c:spPr>
            <a:solidFill>
              <a:schemeClr val="accent1"/>
            </a:solidFill>
            <a:ln>
              <a:noFill/>
            </a:ln>
            <a:effectLst/>
            <a:sp3d/>
          </c:spPr>
          <c:invertIfNegative val="0"/>
          <c:cat>
            <c:strRef>
              <c:f>Pivot_table!$A$8:$A$14</c:f>
              <c:strCache>
                <c:ptCount val="6"/>
                <c:pt idx="0">
                  <c:v>Women's Street Footwear</c:v>
                </c:pt>
                <c:pt idx="1">
                  <c:v>Women's Athletic Footwear</c:v>
                </c:pt>
                <c:pt idx="2">
                  <c:v>Women's Apparel</c:v>
                </c:pt>
                <c:pt idx="3">
                  <c:v>Men's Street Footwear</c:v>
                </c:pt>
                <c:pt idx="4">
                  <c:v>Men's Athletic Footwear</c:v>
                </c:pt>
                <c:pt idx="5">
                  <c:v>Men's Apparel</c:v>
                </c:pt>
              </c:strCache>
            </c:strRef>
          </c:cat>
          <c:val>
            <c:numRef>
              <c:f>Pivot_table!$B$8:$B$14</c:f>
              <c:numCache>
                <c:formatCode>_("$"* #,##0_);_("$"* \(#,##0\);_("$"* "-"??_);_(@_)</c:formatCode>
                <c:ptCount val="6"/>
                <c:pt idx="0">
                  <c:v>128002813</c:v>
                </c:pt>
                <c:pt idx="1">
                  <c:v>106631896</c:v>
                </c:pt>
                <c:pt idx="2">
                  <c:v>179038860</c:v>
                </c:pt>
                <c:pt idx="3">
                  <c:v>208826244</c:v>
                </c:pt>
                <c:pt idx="4">
                  <c:v>153673680</c:v>
                </c:pt>
                <c:pt idx="5">
                  <c:v>123728632</c:v>
                </c:pt>
              </c:numCache>
            </c:numRef>
          </c:val>
          <c:extLst>
            <c:ext xmlns:c16="http://schemas.microsoft.com/office/drawing/2014/chart" uri="{C3380CC4-5D6E-409C-BE32-E72D297353CC}">
              <c16:uniqueId val="{00000000-BD0E-49F4-847A-3E475836BCAA}"/>
            </c:ext>
          </c:extLst>
        </c:ser>
        <c:dLbls>
          <c:showLegendKey val="0"/>
          <c:showVal val="0"/>
          <c:showCatName val="0"/>
          <c:showSerName val="0"/>
          <c:showPercent val="0"/>
          <c:showBubbleSize val="0"/>
        </c:dLbls>
        <c:gapWidth val="150"/>
        <c:shape val="box"/>
        <c:axId val="1279505615"/>
        <c:axId val="1279503535"/>
        <c:axId val="0"/>
      </c:bar3DChart>
      <c:catAx>
        <c:axId val="127950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03535"/>
        <c:crosses val="autoZero"/>
        <c:auto val="1"/>
        <c:lblAlgn val="ctr"/>
        <c:lblOffset val="100"/>
        <c:noMultiLvlLbl val="0"/>
      </c:catAx>
      <c:valAx>
        <c:axId val="12795035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0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across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Pivot_table!$E$7</c:f>
              <c:strCache>
                <c:ptCount val="1"/>
                <c:pt idx="0">
                  <c:v>Total</c:v>
                </c:pt>
              </c:strCache>
            </c:strRef>
          </c:tx>
          <c:spPr>
            <a:solidFill>
              <a:schemeClr val="accent1"/>
            </a:solidFill>
            <a:ln>
              <a:noFill/>
            </a:ln>
            <a:effectLst/>
          </c:spPr>
          <c:invertIfNegative val="0"/>
          <c:cat>
            <c:strRef>
              <c:f>Pivot_table!$D$8:$D$13</c:f>
              <c:strCache>
                <c:ptCount val="5"/>
                <c:pt idx="0">
                  <c:v>West</c:v>
                </c:pt>
                <c:pt idx="1">
                  <c:v>Southeast</c:v>
                </c:pt>
                <c:pt idx="2">
                  <c:v>South</c:v>
                </c:pt>
                <c:pt idx="3">
                  <c:v>Northeast</c:v>
                </c:pt>
                <c:pt idx="4">
                  <c:v>Midwest</c:v>
                </c:pt>
              </c:strCache>
            </c:strRef>
          </c:cat>
          <c:val>
            <c:numRef>
              <c:f>Pivot_table!$E$8:$E$13</c:f>
              <c:numCache>
                <c:formatCode>_("$"* #,##0_);_("$"* \(#,##0\);_("$"* "-"??_);_(@_)</c:formatCode>
                <c:ptCount val="5"/>
                <c:pt idx="0">
                  <c:v>269943182</c:v>
                </c:pt>
                <c:pt idx="1">
                  <c:v>163171236</c:v>
                </c:pt>
                <c:pt idx="2">
                  <c:v>144663181</c:v>
                </c:pt>
                <c:pt idx="3">
                  <c:v>186324067</c:v>
                </c:pt>
                <c:pt idx="4">
                  <c:v>135800459</c:v>
                </c:pt>
              </c:numCache>
            </c:numRef>
          </c:val>
          <c:extLst>
            <c:ext xmlns:c16="http://schemas.microsoft.com/office/drawing/2014/chart" uri="{C3380CC4-5D6E-409C-BE32-E72D297353CC}">
              <c16:uniqueId val="{00000000-9559-4C14-BE35-67C864F7127D}"/>
            </c:ext>
          </c:extLst>
        </c:ser>
        <c:dLbls>
          <c:showLegendKey val="0"/>
          <c:showVal val="0"/>
          <c:showCatName val="0"/>
          <c:showSerName val="0"/>
          <c:showPercent val="0"/>
          <c:showBubbleSize val="0"/>
        </c:dLbls>
        <c:gapWidth val="219"/>
        <c:overlap val="-27"/>
        <c:axId val="1279501039"/>
        <c:axId val="1279501871"/>
      </c:barChart>
      <c:catAx>
        <c:axId val="12795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01871"/>
        <c:crosses val="autoZero"/>
        <c:auto val="1"/>
        <c:lblAlgn val="ctr"/>
        <c:lblOffset val="100"/>
        <c:noMultiLvlLbl val="0"/>
      </c:catAx>
      <c:valAx>
        <c:axId val="12795018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0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retailer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Pivot_table!$B$17</c:f>
              <c:strCache>
                <c:ptCount val="1"/>
                <c:pt idx="0">
                  <c:v>Total</c:v>
                </c:pt>
              </c:strCache>
            </c:strRef>
          </c:tx>
          <c:spPr>
            <a:solidFill>
              <a:schemeClr val="accent1"/>
            </a:solidFill>
            <a:ln>
              <a:noFill/>
            </a:ln>
            <a:effectLst/>
            <a:sp3d/>
          </c:spPr>
          <c:invertIfNegative val="0"/>
          <c:cat>
            <c:strRef>
              <c:f>Pivot_table!$A$18:$A$24</c:f>
              <c:strCache>
                <c:ptCount val="6"/>
                <c:pt idx="0">
                  <c:v>West Gear</c:v>
                </c:pt>
                <c:pt idx="1">
                  <c:v>Foot Locker</c:v>
                </c:pt>
                <c:pt idx="2">
                  <c:v>Sports Direct</c:v>
                </c:pt>
                <c:pt idx="3">
                  <c:v>Kohl's</c:v>
                </c:pt>
                <c:pt idx="4">
                  <c:v>Amazon</c:v>
                </c:pt>
                <c:pt idx="5">
                  <c:v>Walmart</c:v>
                </c:pt>
              </c:strCache>
            </c:strRef>
          </c:cat>
          <c:val>
            <c:numRef>
              <c:f>Pivot_table!$B$18:$B$24</c:f>
              <c:numCache>
                <c:formatCode>_("$"* #,##0_);_("$"* \(#,##0\);_("$"* "-"??_);_(@_)</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30C0-490A-97E0-F77FFDC168F1}"/>
            </c:ext>
          </c:extLst>
        </c:ser>
        <c:dLbls>
          <c:showLegendKey val="0"/>
          <c:showVal val="0"/>
          <c:showCatName val="0"/>
          <c:showSerName val="0"/>
          <c:showPercent val="0"/>
          <c:showBubbleSize val="0"/>
        </c:dLbls>
        <c:gapWidth val="150"/>
        <c:shape val="box"/>
        <c:axId val="1408015919"/>
        <c:axId val="1408009679"/>
        <c:axId val="0"/>
      </c:bar3DChart>
      <c:catAx>
        <c:axId val="140801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09679"/>
        <c:crosses val="autoZero"/>
        <c:auto val="1"/>
        <c:lblAlgn val="ctr"/>
        <c:lblOffset val="100"/>
        <c:noMultiLvlLbl val="0"/>
      </c:catAx>
      <c:valAx>
        <c:axId val="1408009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1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Pivot_table!$H$7</c:f>
              <c:strCache>
                <c:ptCount val="1"/>
                <c:pt idx="0">
                  <c:v>Total</c:v>
                </c:pt>
              </c:strCache>
            </c:strRef>
          </c:tx>
          <c:spPr>
            <a:ln w="28575" cap="rnd">
              <a:solidFill>
                <a:schemeClr val="accent1"/>
              </a:solidFill>
              <a:round/>
            </a:ln>
            <a:effectLst/>
          </c:spPr>
          <c:marker>
            <c:symbol val="none"/>
          </c:marker>
          <c:cat>
            <c:multiLvlStrRef>
              <c:f>Pivot_table!$G$8:$G$10</c:f>
              <c:multiLvlStrCache>
                <c:ptCount val="1"/>
                <c:lvl>
                  <c:pt idx="0">
                    <c:v>2020</c:v>
                  </c:pt>
                </c:lvl>
                <c:lvl>
                  <c:pt idx="0">
                    <c:v>Qtr3</c:v>
                  </c:pt>
                </c:lvl>
              </c:multiLvlStrCache>
            </c:multiLvlStrRef>
          </c:cat>
          <c:val>
            <c:numRef>
              <c:f>Pivot_table!$H$8:$H$10</c:f>
              <c:numCache>
                <c:formatCode>_("$"* #,##0_);_("$"* \(#,##0\);_("$"* "-"??_);_(@_)</c:formatCode>
                <c:ptCount val="1"/>
                <c:pt idx="0">
                  <c:v>55328429</c:v>
                </c:pt>
              </c:numCache>
            </c:numRef>
          </c:val>
          <c:smooth val="0"/>
          <c:extLst>
            <c:ext xmlns:c16="http://schemas.microsoft.com/office/drawing/2014/chart" uri="{C3380CC4-5D6E-409C-BE32-E72D297353CC}">
              <c16:uniqueId val="{00000000-CBCA-480D-8125-D733F9B816A0}"/>
            </c:ext>
          </c:extLst>
        </c:ser>
        <c:dLbls>
          <c:showLegendKey val="0"/>
          <c:showVal val="0"/>
          <c:showCatName val="0"/>
          <c:showSerName val="0"/>
          <c:showPercent val="0"/>
          <c:showBubbleSize val="0"/>
        </c:dLbls>
        <c:smooth val="0"/>
        <c:axId val="1408010927"/>
        <c:axId val="1408013839"/>
      </c:lineChart>
      <c:catAx>
        <c:axId val="14080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13839"/>
        <c:crosses val="autoZero"/>
        <c:auto val="1"/>
        <c:lblAlgn val="ctr"/>
        <c:lblOffset val="100"/>
        <c:noMultiLvlLbl val="0"/>
      </c:catAx>
      <c:valAx>
        <c:axId val="14080138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1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
            </a:r>
            <a:r>
              <a:rPr lang="en-US" baseline="0"/>
              <a:t>ales channe</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Pivot_table!$E$17</c:f>
              <c:strCache>
                <c:ptCount val="1"/>
                <c:pt idx="0">
                  <c:v>Total</c:v>
                </c:pt>
              </c:strCache>
            </c:strRef>
          </c:tx>
          <c:spPr>
            <a:solidFill>
              <a:schemeClr val="accent1"/>
            </a:solidFill>
            <a:ln>
              <a:noFill/>
            </a:ln>
            <a:effectLst/>
          </c:spPr>
          <c:invertIfNegative val="0"/>
          <c:cat>
            <c:strRef>
              <c:f>Pivot_table!$D$18:$D$21</c:f>
              <c:strCache>
                <c:ptCount val="3"/>
                <c:pt idx="0">
                  <c:v>Outlet</c:v>
                </c:pt>
                <c:pt idx="1">
                  <c:v>Online</c:v>
                </c:pt>
                <c:pt idx="2">
                  <c:v>In-store</c:v>
                </c:pt>
              </c:strCache>
            </c:strRef>
          </c:cat>
          <c:val>
            <c:numRef>
              <c:f>Pivot_table!$E$18:$E$21</c:f>
              <c:numCache>
                <c:formatCode>_("$"* #,##0_);_("$"* \(#,##0\);_("$"* "-"??_);_(@_)</c:formatCode>
                <c:ptCount val="3"/>
                <c:pt idx="0">
                  <c:v>295585493</c:v>
                </c:pt>
                <c:pt idx="1">
                  <c:v>247672882</c:v>
                </c:pt>
                <c:pt idx="2">
                  <c:v>356643750</c:v>
                </c:pt>
              </c:numCache>
            </c:numRef>
          </c:val>
          <c:extLst>
            <c:ext xmlns:c16="http://schemas.microsoft.com/office/drawing/2014/chart" uri="{C3380CC4-5D6E-409C-BE32-E72D297353CC}">
              <c16:uniqueId val="{00000000-E9F6-43B5-8E4C-583403B74838}"/>
            </c:ext>
          </c:extLst>
        </c:ser>
        <c:dLbls>
          <c:showLegendKey val="0"/>
          <c:showVal val="0"/>
          <c:showCatName val="0"/>
          <c:showSerName val="0"/>
          <c:showPercent val="0"/>
          <c:showBubbleSize val="0"/>
        </c:dLbls>
        <c:gapWidth val="219"/>
        <c:axId val="942617839"/>
        <c:axId val="1449411295"/>
      </c:barChart>
      <c:catAx>
        <c:axId val="9426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411295"/>
        <c:crosses val="autoZero"/>
        <c:auto val="1"/>
        <c:lblAlgn val="ctr"/>
        <c:lblOffset val="100"/>
        <c:noMultiLvlLbl val="0"/>
      </c:catAx>
      <c:valAx>
        <c:axId val="144941129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61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133350</xdr:colOff>
      <xdr:row>1</xdr:row>
      <xdr:rowOff>152400</xdr:rowOff>
    </xdr:from>
    <xdr:to>
      <xdr:col>10</xdr:col>
      <xdr:colOff>438150</xdr:colOff>
      <xdr:row>16</xdr:row>
      <xdr:rowOff>38100</xdr:rowOff>
    </xdr:to>
    <xdr:graphicFrame macro="">
      <xdr:nvGraphicFramePr>
        <xdr:cNvPr id="2" name="Chart 1">
          <a:extLst>
            <a:ext uri="{FF2B5EF4-FFF2-40B4-BE49-F238E27FC236}">
              <a16:creationId xmlns:a16="http://schemas.microsoft.com/office/drawing/2014/main" id="{3C0F5C13-C08A-4191-8227-E853635F7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10</xdr:row>
      <xdr:rowOff>171450</xdr:rowOff>
    </xdr:from>
    <xdr:to>
      <xdr:col>10</xdr:col>
      <xdr:colOff>361950</xdr:colOff>
      <xdr:row>25</xdr:row>
      <xdr:rowOff>57150</xdr:rowOff>
    </xdr:to>
    <xdr:graphicFrame macro="">
      <xdr:nvGraphicFramePr>
        <xdr:cNvPr id="2" name="Chart 1">
          <a:extLst>
            <a:ext uri="{FF2B5EF4-FFF2-40B4-BE49-F238E27FC236}">
              <a16:creationId xmlns:a16="http://schemas.microsoft.com/office/drawing/2014/main" id="{5CEFB909-0BAF-41B4-9EC2-0C7B9CCCC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14</xdr:row>
      <xdr:rowOff>114300</xdr:rowOff>
    </xdr:from>
    <xdr:to>
      <xdr:col>5</xdr:col>
      <xdr:colOff>190500</xdr:colOff>
      <xdr:row>19</xdr:row>
      <xdr:rowOff>76200</xdr:rowOff>
    </xdr:to>
    <xdr:sp macro="" textlink="">
      <xdr:nvSpPr>
        <xdr:cNvPr id="3" name="Rectangle 2">
          <a:extLst>
            <a:ext uri="{FF2B5EF4-FFF2-40B4-BE49-F238E27FC236}">
              <a16:creationId xmlns:a16="http://schemas.microsoft.com/office/drawing/2014/main" id="{533BE042-5725-42BB-BF61-6A77BEAADA4B}"/>
            </a:ext>
          </a:extLst>
        </xdr:cNvPr>
        <xdr:cNvSpPr/>
      </xdr:nvSpPr>
      <xdr:spPr>
        <a:xfrm rot="21413320">
          <a:off x="3600450" y="2781300"/>
          <a:ext cx="914400"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800100</xdr:colOff>
      <xdr:row>8</xdr:row>
      <xdr:rowOff>180976</xdr:rowOff>
    </xdr:from>
    <xdr:to>
      <xdr:col>11</xdr:col>
      <xdr:colOff>28575</xdr:colOff>
      <xdr:row>14</xdr:row>
      <xdr:rowOff>28576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81BB972-86D8-49BC-8991-788DACBA19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87175" y="1704976"/>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838200</xdr:colOff>
      <xdr:row>1</xdr:row>
      <xdr:rowOff>85725</xdr:rowOff>
    </xdr:from>
    <xdr:to>
      <xdr:col>11</xdr:col>
      <xdr:colOff>66675</xdr:colOff>
      <xdr:row>8</xdr:row>
      <xdr:rowOff>38100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49260C4-981C-44CD-BEA6-0D321E5D828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725275" y="2762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4</xdr:row>
      <xdr:rowOff>47625</xdr:rowOff>
    </xdr:from>
    <xdr:to>
      <xdr:col>2</xdr:col>
      <xdr:colOff>123825</xdr:colOff>
      <xdr:row>6</xdr:row>
      <xdr:rowOff>95250</xdr:rowOff>
    </xdr:to>
    <xdr:sp macro="" textlink="">
      <xdr:nvSpPr>
        <xdr:cNvPr id="11" name="Rectangle: Rounded Corners 10">
          <a:extLst>
            <a:ext uri="{FF2B5EF4-FFF2-40B4-BE49-F238E27FC236}">
              <a16:creationId xmlns:a16="http://schemas.microsoft.com/office/drawing/2014/main" id="{F684843B-676D-44EB-B4C1-2F7E93C01FAF}"/>
            </a:ext>
          </a:extLst>
        </xdr:cNvPr>
        <xdr:cNvSpPr/>
      </xdr:nvSpPr>
      <xdr:spPr>
        <a:xfrm>
          <a:off x="19050" y="809625"/>
          <a:ext cx="1800225" cy="428625"/>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0" cap="none" spc="0">
              <a:ln w="0"/>
              <a:solidFill>
                <a:schemeClr val="tx1"/>
              </a:solidFill>
              <a:effectLst>
                <a:outerShdw blurRad="50800" dist="38100" dir="2700000" algn="tl" rotWithShape="0">
                  <a:prstClr val="black">
                    <a:alpha val="40000"/>
                  </a:prstClr>
                </a:outerShdw>
              </a:effectLst>
            </a:rPr>
            <a:t>Total</a:t>
          </a:r>
          <a:r>
            <a:rPr lang="en-US" sz="1100" b="0" cap="none" spc="0" baseline="0">
              <a:ln w="0"/>
              <a:solidFill>
                <a:schemeClr val="tx1"/>
              </a:solidFill>
              <a:effectLst>
                <a:outerShdw blurRad="50800" dist="38100" dir="2700000" algn="tl" rotWithShape="0">
                  <a:prstClr val="black">
                    <a:alpha val="40000"/>
                  </a:prstClr>
                </a:outerShdw>
              </a:effectLst>
            </a:rPr>
            <a:t> </a:t>
          </a:r>
          <a:r>
            <a:rPr lang="en-US" sz="1200" b="0" cap="none" spc="0" baseline="0">
              <a:ln w="0"/>
              <a:solidFill>
                <a:schemeClr val="tx1"/>
              </a:solidFill>
              <a:effectLst>
                <a:outerShdw blurRad="50800" dist="38100" dir="2700000" algn="tl" rotWithShape="0">
                  <a:prstClr val="black">
                    <a:alpha val="40000"/>
                  </a:prstClr>
                </a:outerShdw>
              </a:effectLst>
            </a:rPr>
            <a:t>sales</a:t>
          </a:r>
          <a:endParaRPr lang="en-US" sz="1200" b="0" cap="none" spc="0">
            <a:ln w="0"/>
            <a:solidFill>
              <a:schemeClr val="tx1"/>
            </a:solidFill>
            <a:effectLst>
              <a:outerShdw blurRad="50800" dist="38100" dir="2700000" algn="tl" rotWithShape="0">
                <a:prstClr val="black">
                  <a:alpha val="40000"/>
                </a:prstClr>
              </a:outerShdw>
            </a:effectLst>
          </a:endParaRPr>
        </a:p>
      </xdr:txBody>
    </xdr:sp>
    <xdr:clientData/>
  </xdr:twoCellAnchor>
  <xdr:twoCellAnchor>
    <xdr:from>
      <xdr:col>5</xdr:col>
      <xdr:colOff>295275</xdr:colOff>
      <xdr:row>4</xdr:row>
      <xdr:rowOff>0</xdr:rowOff>
    </xdr:from>
    <xdr:to>
      <xdr:col>8</xdr:col>
      <xdr:colOff>266700</xdr:colOff>
      <xdr:row>6</xdr:row>
      <xdr:rowOff>47625</xdr:rowOff>
    </xdr:to>
    <xdr:sp macro="" textlink="">
      <xdr:nvSpPr>
        <xdr:cNvPr id="12" name="Rectangle: Rounded Corners 11">
          <a:extLst>
            <a:ext uri="{FF2B5EF4-FFF2-40B4-BE49-F238E27FC236}">
              <a16:creationId xmlns:a16="http://schemas.microsoft.com/office/drawing/2014/main" id="{1A5FD0AB-7742-4072-8CFF-42DB10307307}"/>
            </a:ext>
          </a:extLst>
        </xdr:cNvPr>
        <xdr:cNvSpPr/>
      </xdr:nvSpPr>
      <xdr:spPr>
        <a:xfrm>
          <a:off x="3819525" y="762000"/>
          <a:ext cx="1990725" cy="428625"/>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0" cap="none" spc="0">
              <a:ln w="0"/>
              <a:solidFill>
                <a:schemeClr val="tx1"/>
              </a:solidFill>
              <a:effectLst>
                <a:outerShdw blurRad="50800" dist="38100" dir="2700000" algn="tl" rotWithShape="0">
                  <a:prstClr val="black">
                    <a:alpha val="40000"/>
                  </a:prstClr>
                </a:outerShdw>
              </a:effectLst>
            </a:rPr>
            <a:t>Total</a:t>
          </a:r>
          <a:r>
            <a:rPr lang="en-US" sz="1200" b="0" cap="none" spc="0" baseline="0">
              <a:ln w="0"/>
              <a:solidFill>
                <a:schemeClr val="tx1"/>
              </a:solidFill>
              <a:effectLst>
                <a:outerShdw blurRad="50800" dist="38100" dir="2700000" algn="tl" rotWithShape="0">
                  <a:prstClr val="black">
                    <a:alpha val="40000"/>
                  </a:prstClr>
                </a:outerShdw>
              </a:effectLst>
            </a:rPr>
            <a:t> operating </a:t>
          </a:r>
          <a:r>
            <a:rPr lang="en-US" sz="1200" b="0" cap="none" spc="0">
              <a:ln w="0"/>
              <a:solidFill>
                <a:schemeClr val="tx1"/>
              </a:solidFill>
              <a:effectLst>
                <a:outerShdw blurRad="50800" dist="38100" dir="2700000" algn="tl" rotWithShape="0">
                  <a:prstClr val="black">
                    <a:alpha val="40000"/>
                  </a:prstClr>
                </a:outerShdw>
              </a:effectLst>
            </a:rPr>
            <a:t>Profit</a:t>
          </a:r>
          <a:r>
            <a:rPr lang="en-US" sz="1200" b="0" cap="none" spc="0" baseline="0">
              <a:ln w="0"/>
              <a:solidFill>
                <a:schemeClr val="tx1"/>
              </a:solidFill>
              <a:effectLst>
                <a:outerShdw blurRad="50800" dist="38100" dir="2700000" algn="tl" rotWithShape="0">
                  <a:prstClr val="black">
                    <a:alpha val="40000"/>
                  </a:prstClr>
                </a:outerShdw>
              </a:effectLst>
            </a:rPr>
            <a:t> </a:t>
          </a:r>
          <a:endParaRPr lang="en-US" sz="1200" b="0" cap="none" spc="0">
            <a:ln w="0"/>
            <a:solidFill>
              <a:schemeClr val="tx1"/>
            </a:solidFill>
            <a:effectLst>
              <a:outerShdw blurRad="50800" dist="38100" dir="2700000" algn="tl" rotWithShape="0">
                <a:prstClr val="black">
                  <a:alpha val="40000"/>
                </a:prstClr>
              </a:outerShdw>
            </a:effectLst>
          </a:endParaRPr>
        </a:p>
      </xdr:txBody>
    </xdr:sp>
    <xdr:clientData/>
  </xdr:twoCellAnchor>
  <xdr:twoCellAnchor>
    <xdr:from>
      <xdr:col>8</xdr:col>
      <xdr:colOff>428625</xdr:colOff>
      <xdr:row>3</xdr:row>
      <xdr:rowOff>171450</xdr:rowOff>
    </xdr:from>
    <xdr:to>
      <xdr:col>11</xdr:col>
      <xdr:colOff>400050</xdr:colOff>
      <xdr:row>6</xdr:row>
      <xdr:rowOff>28575</xdr:rowOff>
    </xdr:to>
    <xdr:sp macro="" textlink="">
      <xdr:nvSpPr>
        <xdr:cNvPr id="13" name="Rectangle: Rounded Corners 12">
          <a:extLst>
            <a:ext uri="{FF2B5EF4-FFF2-40B4-BE49-F238E27FC236}">
              <a16:creationId xmlns:a16="http://schemas.microsoft.com/office/drawing/2014/main" id="{67A46E15-6483-4DD2-9945-DF7AE4D0F0B2}"/>
            </a:ext>
          </a:extLst>
        </xdr:cNvPr>
        <xdr:cNvSpPr/>
      </xdr:nvSpPr>
      <xdr:spPr>
        <a:xfrm>
          <a:off x="5972175" y="742950"/>
          <a:ext cx="1800225" cy="428625"/>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ysClr val="windowText" lastClr="000000"/>
              </a:solidFill>
              <a:effectLst>
                <a:outerShdw blurRad="50800" dist="38100" dir="2700000" algn="tl" rotWithShape="0">
                  <a:prstClr val="black">
                    <a:alpha val="40000"/>
                  </a:prstClr>
                </a:outerShdw>
              </a:effectLst>
            </a:rPr>
            <a:t>Average profit margin %</a:t>
          </a:r>
        </a:p>
      </xdr:txBody>
    </xdr:sp>
    <xdr:clientData/>
  </xdr:twoCellAnchor>
  <xdr:twoCellAnchor>
    <xdr:from>
      <xdr:col>2</xdr:col>
      <xdr:colOff>200025</xdr:colOff>
      <xdr:row>4</xdr:row>
      <xdr:rowOff>38100</xdr:rowOff>
    </xdr:from>
    <xdr:to>
      <xdr:col>5</xdr:col>
      <xdr:colOff>171450</xdr:colOff>
      <xdr:row>6</xdr:row>
      <xdr:rowOff>85725</xdr:rowOff>
    </xdr:to>
    <xdr:sp macro="" textlink="">
      <xdr:nvSpPr>
        <xdr:cNvPr id="15" name="Rectangle: Rounded Corners 14">
          <a:extLst>
            <a:ext uri="{FF2B5EF4-FFF2-40B4-BE49-F238E27FC236}">
              <a16:creationId xmlns:a16="http://schemas.microsoft.com/office/drawing/2014/main" id="{B0FD8699-ACD1-4AC4-AC60-A82EE2AE534D}"/>
            </a:ext>
          </a:extLst>
        </xdr:cNvPr>
        <xdr:cNvSpPr/>
      </xdr:nvSpPr>
      <xdr:spPr>
        <a:xfrm>
          <a:off x="1895475" y="800100"/>
          <a:ext cx="1800225" cy="428625"/>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0" cap="none" spc="0">
              <a:ln w="0"/>
              <a:solidFill>
                <a:sysClr val="windowText" lastClr="000000"/>
              </a:solidFill>
              <a:effectLst>
                <a:outerShdw blurRad="50800" dist="38100" dir="2700000" algn="tl" rotWithShape="0">
                  <a:prstClr val="black">
                    <a:alpha val="40000"/>
                  </a:prstClr>
                </a:outerShdw>
              </a:effectLst>
            </a:rPr>
            <a:t>Total</a:t>
          </a:r>
          <a:r>
            <a:rPr lang="en-US" sz="1200" b="0" cap="none" spc="0" baseline="0">
              <a:ln w="0"/>
              <a:solidFill>
                <a:sysClr val="windowText" lastClr="000000"/>
              </a:solidFill>
              <a:effectLst>
                <a:outerShdw blurRad="50800" dist="38100" dir="2700000" algn="tl" rotWithShape="0">
                  <a:prstClr val="black">
                    <a:alpha val="40000"/>
                  </a:prstClr>
                </a:outerShdw>
              </a:effectLst>
            </a:rPr>
            <a:t> </a:t>
          </a:r>
          <a:r>
            <a:rPr lang="en-US" sz="1200" b="0" cap="none" spc="0">
              <a:ln w="0"/>
              <a:solidFill>
                <a:sysClr val="windowText" lastClr="000000"/>
              </a:solidFill>
              <a:effectLst>
                <a:outerShdw blurRad="50800" dist="38100" dir="2700000" algn="tl" rotWithShape="0">
                  <a:prstClr val="black">
                    <a:alpha val="40000"/>
                  </a:prstClr>
                </a:outerShdw>
              </a:effectLst>
            </a:rPr>
            <a:t>Unit</a:t>
          </a:r>
          <a:r>
            <a:rPr lang="en-US" sz="1100" b="0" cap="none" spc="0" baseline="0">
              <a:ln w="0"/>
              <a:solidFill>
                <a:sysClr val="windowText" lastClr="000000"/>
              </a:solidFill>
              <a:effectLst>
                <a:outerShdw blurRad="50800" dist="38100" dir="2700000" algn="tl" rotWithShape="0">
                  <a:prstClr val="black">
                    <a:alpha val="40000"/>
                  </a:prstClr>
                </a:outerShdw>
              </a:effectLst>
            </a:rPr>
            <a:t> </a:t>
          </a:r>
          <a:r>
            <a:rPr lang="en-US" sz="1200" b="0" cap="none" spc="0" baseline="0">
              <a:ln w="0"/>
              <a:solidFill>
                <a:sysClr val="windowText" lastClr="000000"/>
              </a:solidFill>
              <a:effectLst>
                <a:outerShdw blurRad="50800" dist="38100" dir="2700000" algn="tl" rotWithShape="0">
                  <a:prstClr val="black">
                    <a:alpha val="40000"/>
                  </a:prstClr>
                </a:outerShdw>
              </a:effectLst>
            </a:rPr>
            <a:t>sold</a:t>
          </a:r>
          <a:endParaRPr lang="en-US" sz="1200" b="0" cap="none" spc="0">
            <a:ln w="0"/>
            <a:solidFill>
              <a:sysClr val="windowText" lastClr="000000"/>
            </a:solidFill>
            <a:effectLst>
              <a:outerShdw blurRad="50800" dist="38100" dir="2700000" algn="tl" rotWithShape="0">
                <a:prstClr val="black">
                  <a:alpha val="40000"/>
                </a:prstClr>
              </a:outerShdw>
            </a:effectLst>
          </a:endParaRPr>
        </a:p>
      </xdr:txBody>
    </xdr:sp>
    <xdr:clientData/>
  </xdr:twoCellAnchor>
  <xdr:twoCellAnchor>
    <xdr:from>
      <xdr:col>0</xdr:col>
      <xdr:colOff>9525</xdr:colOff>
      <xdr:row>8</xdr:row>
      <xdr:rowOff>57150</xdr:rowOff>
    </xdr:from>
    <xdr:to>
      <xdr:col>4</xdr:col>
      <xdr:colOff>200024</xdr:colOff>
      <xdr:row>19</xdr:row>
      <xdr:rowOff>9525</xdr:rowOff>
    </xdr:to>
    <xdr:graphicFrame macro="">
      <xdr:nvGraphicFramePr>
        <xdr:cNvPr id="16" name="Chart 15">
          <a:extLst>
            <a:ext uri="{FF2B5EF4-FFF2-40B4-BE49-F238E27FC236}">
              <a16:creationId xmlns:a16="http://schemas.microsoft.com/office/drawing/2014/main" id="{FD0E8FAA-8D2A-48C1-82AF-F0327AA39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8</xdr:row>
      <xdr:rowOff>47624</xdr:rowOff>
    </xdr:from>
    <xdr:to>
      <xdr:col>9</xdr:col>
      <xdr:colOff>114300</xdr:colOff>
      <xdr:row>18</xdr:row>
      <xdr:rowOff>190499</xdr:rowOff>
    </xdr:to>
    <xdr:graphicFrame macro="">
      <xdr:nvGraphicFramePr>
        <xdr:cNvPr id="18" name="Chart 17">
          <a:extLst>
            <a:ext uri="{FF2B5EF4-FFF2-40B4-BE49-F238E27FC236}">
              <a16:creationId xmlns:a16="http://schemas.microsoft.com/office/drawing/2014/main" id="{346532A3-6252-4CD9-A1B8-E07216A5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180975</xdr:colOff>
      <xdr:row>8</xdr:row>
      <xdr:rowOff>19051</xdr:rowOff>
    </xdr:from>
    <xdr:to>
      <xdr:col>14</xdr:col>
      <xdr:colOff>561975</xdr:colOff>
      <xdr:row>19</xdr:row>
      <xdr:rowOff>0</xdr:rowOff>
    </xdr:to>
    <xdr:graphicFrame macro="">
      <xdr:nvGraphicFramePr>
        <xdr:cNvPr id="22" name="Chart 21">
          <a:extLst>
            <a:ext uri="{FF2B5EF4-FFF2-40B4-BE49-F238E27FC236}">
              <a16:creationId xmlns:a16="http://schemas.microsoft.com/office/drawing/2014/main" id="{A9A02F3A-038B-4605-8C9E-0E8B2FE63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4</xdr:col>
      <xdr:colOff>209550</xdr:colOff>
      <xdr:row>30</xdr:row>
      <xdr:rowOff>104775</xdr:rowOff>
    </xdr:to>
    <xdr:graphicFrame macro="">
      <xdr:nvGraphicFramePr>
        <xdr:cNvPr id="24" name="Chart 23">
          <a:extLst>
            <a:ext uri="{FF2B5EF4-FFF2-40B4-BE49-F238E27FC236}">
              <a16:creationId xmlns:a16="http://schemas.microsoft.com/office/drawing/2014/main" id="{ACBAA595-DCA7-46D3-A873-600237FA2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342900</xdr:colOff>
      <xdr:row>20</xdr:row>
      <xdr:rowOff>9525</xdr:rowOff>
    </xdr:from>
    <xdr:to>
      <xdr:col>10</xdr:col>
      <xdr:colOff>57150</xdr:colOff>
      <xdr:row>30</xdr:row>
      <xdr:rowOff>123825</xdr:rowOff>
    </xdr:to>
    <xdr:graphicFrame macro="">
      <xdr:nvGraphicFramePr>
        <xdr:cNvPr id="26" name="Chart 25">
          <a:extLst>
            <a:ext uri="{FF2B5EF4-FFF2-40B4-BE49-F238E27FC236}">
              <a16:creationId xmlns:a16="http://schemas.microsoft.com/office/drawing/2014/main" id="{54029289-2F9B-4469-8FED-F5E9763D4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66675</xdr:colOff>
      <xdr:row>8</xdr:row>
      <xdr:rowOff>0</xdr:rowOff>
    </xdr:from>
    <xdr:to>
      <xdr:col>18</xdr:col>
      <xdr:colOff>66675</xdr:colOff>
      <xdr:row>12</xdr:row>
      <xdr:rowOff>171450</xdr:rowOff>
    </xdr:to>
    <mc:AlternateContent xmlns:mc="http://schemas.openxmlformats.org/markup-compatibility/2006" xmlns:a14="http://schemas.microsoft.com/office/drawing/2010/main">
      <mc:Choice Requires="a14">
        <xdr:graphicFrame macro="">
          <xdr:nvGraphicFramePr>
            <xdr:cNvPr id="27" name="Retailer">
              <a:extLst>
                <a:ext uri="{FF2B5EF4-FFF2-40B4-BE49-F238E27FC236}">
                  <a16:creationId xmlns:a16="http://schemas.microsoft.com/office/drawing/2014/main" id="{CCFD7386-7C97-4164-B0FE-BFCA10CC4B6D}"/>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067925" y="152400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13</xdr:row>
      <xdr:rowOff>57150</xdr:rowOff>
    </xdr:from>
    <xdr:to>
      <xdr:col>18</xdr:col>
      <xdr:colOff>95250</xdr:colOff>
      <xdr:row>18</xdr:row>
      <xdr:rowOff>123825</xdr:rowOff>
    </xdr:to>
    <mc:AlternateContent xmlns:mc="http://schemas.openxmlformats.org/markup-compatibility/2006" xmlns:a14="http://schemas.microsoft.com/office/drawing/2010/main">
      <mc:Choice Requires="a14">
        <xdr:graphicFrame macro="">
          <xdr:nvGraphicFramePr>
            <xdr:cNvPr id="29" name="Sales Method">
              <a:extLst>
                <a:ext uri="{FF2B5EF4-FFF2-40B4-BE49-F238E27FC236}">
                  <a16:creationId xmlns:a16="http://schemas.microsoft.com/office/drawing/2014/main" id="{96E8E5AD-98C3-47D4-99E7-4A19A02A30CF}"/>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0096500" y="2533650"/>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161925</xdr:colOff>
      <xdr:row>13</xdr:row>
      <xdr:rowOff>66676</xdr:rowOff>
    </xdr:from>
    <xdr:to>
      <xdr:col>21</xdr:col>
      <xdr:colOff>161925</xdr:colOff>
      <xdr:row>18</xdr:row>
      <xdr:rowOff>152400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AACEA194-F14B-4E37-B060-6C65D847AA7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91975" y="2543176"/>
              <a:ext cx="1828800" cy="103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xdr:row>
      <xdr:rowOff>76199</xdr:rowOff>
    </xdr:from>
    <xdr:to>
      <xdr:col>17</xdr:col>
      <xdr:colOff>247650</xdr:colOff>
      <xdr:row>6</xdr:row>
      <xdr:rowOff>171450</xdr:rowOff>
    </xdr:to>
    <mc:AlternateContent xmlns:mc="http://schemas.openxmlformats.org/markup-compatibility/2006" xmlns:tsle="http://schemas.microsoft.com/office/drawing/2012/timeslicer">
      <mc:Choice Requires="tsle">
        <xdr:graphicFrame macro="">
          <xdr:nvGraphicFramePr>
            <xdr:cNvPr id="34" name="Invoice Date">
              <a:extLst>
                <a:ext uri="{FF2B5EF4-FFF2-40B4-BE49-F238E27FC236}">
                  <a16:creationId xmlns:a16="http://schemas.microsoft.com/office/drawing/2014/main" id="{509D7796-6DCB-4F98-8301-B1FA53C54A35}"/>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8134350" y="266699"/>
              <a:ext cx="3333750" cy="10477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171450</xdr:colOff>
      <xdr:row>7</xdr:row>
      <xdr:rowOff>171450</xdr:rowOff>
    </xdr:from>
    <xdr:to>
      <xdr:col>21</xdr:col>
      <xdr:colOff>171450</xdr:colOff>
      <xdr:row>12</xdr:row>
      <xdr:rowOff>152400</xdr:rowOff>
    </xdr:to>
    <mc:AlternateContent xmlns:mc="http://schemas.openxmlformats.org/markup-compatibility/2006" xmlns:a14="http://schemas.microsoft.com/office/drawing/2010/main">
      <mc:Choice Requires="a14">
        <xdr:graphicFrame macro="">
          <xdr:nvGraphicFramePr>
            <xdr:cNvPr id="35" name="Product 1">
              <a:extLst>
                <a:ext uri="{FF2B5EF4-FFF2-40B4-BE49-F238E27FC236}">
                  <a16:creationId xmlns:a16="http://schemas.microsoft.com/office/drawing/2014/main" id="{3418B51B-9B1A-4004-8C72-9E5420BF366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001500" y="150495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A" refreshedDate="46260.766597106478" createdVersion="7" refreshedVersion="7" minRefreshableVersion="3" recordCount="9648" xr:uid="{51E6D82D-8AB1-4AC0-B07B-7EE65A1E2760}">
  <cacheSource type="worksheet">
    <worksheetSource ref="B5:N9653" sheet="Data Sales 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543277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D82FA3-6BCC-489F-BF97-B14F32CE69F6}"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28" firstHeaderRow="1" firstDataRow="1" firstDataCol="1"/>
  <pivotFields count="15">
    <pivotField showAll="0">
      <items count="7">
        <item x="5"/>
        <item x="0"/>
        <item x="4"/>
        <item x="2"/>
        <item x="1"/>
        <item x="3"/>
        <item t="default"/>
      </items>
    </pivotField>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
    <field x="13"/>
    <field x="14"/>
  </rowFields>
  <rowItems count="25">
    <i>
      <x v="1"/>
    </i>
    <i r="1">
      <x v="1"/>
    </i>
    <i>
      <x v="2"/>
    </i>
    <i r="1">
      <x v="1"/>
    </i>
    <i>
      <x v="3"/>
    </i>
    <i r="1">
      <x v="1"/>
    </i>
    <i>
      <x v="4"/>
    </i>
    <i r="1">
      <x v="2"/>
    </i>
    <i>
      <x v="5"/>
    </i>
    <i r="1">
      <x v="2"/>
    </i>
    <i>
      <x v="6"/>
    </i>
    <i r="1">
      <x v="2"/>
    </i>
    <i>
      <x v="7"/>
    </i>
    <i r="1">
      <x v="3"/>
    </i>
    <i>
      <x v="8"/>
    </i>
    <i r="1">
      <x v="3"/>
    </i>
    <i>
      <x v="9"/>
    </i>
    <i r="1">
      <x v="3"/>
    </i>
    <i>
      <x v="10"/>
    </i>
    <i r="1">
      <x v="4"/>
    </i>
    <i>
      <x v="11"/>
    </i>
    <i r="1">
      <x v="4"/>
    </i>
    <i>
      <x v="12"/>
    </i>
    <i r="1">
      <x v="4"/>
    </i>
    <i t="grand">
      <x/>
    </i>
  </rowItems>
  <colItems count="1">
    <i/>
  </colItems>
  <dataFields count="1">
    <dataField name="Sum of Total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B20B8-B64F-40AE-8BF3-3D63FACF721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DDDD1-E0CC-4518-B610-8D4EE313F12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3:E21" firstHeaderRow="1" firstDataRow="2" firstDataCol="1"/>
  <pivotFields count="15">
    <pivotField axis="axisRow" showAll="0" sortType="descending">
      <items count="7">
        <item x="3"/>
        <item x="1"/>
        <item x="2"/>
        <item x="4"/>
        <item x="0"/>
        <item x="5"/>
        <item t="default"/>
      </items>
    </pivotField>
    <pivotField showAll="0"/>
    <pivotField numFmtId="164" showAll="0"/>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Col" showAll="0" sortType="descending">
      <items count="4">
        <item x="1"/>
        <item x="2"/>
        <item x="0"/>
        <item t="default"/>
      </items>
    </pivotField>
    <pivotField showAll="0" defaultSubtotal="0">
      <items count="6">
        <item x="0"/>
        <item x="1"/>
        <item x="2"/>
        <item x="3"/>
        <item x="4"/>
        <item x="5"/>
      </items>
    </pivotField>
    <pivotField showAll="0" defaultSubtotal="0"/>
  </pivotFields>
  <rowFields count="1">
    <field x="0"/>
  </rowFields>
  <rowItems count="7">
    <i>
      <x/>
    </i>
    <i>
      <x v="1"/>
    </i>
    <i>
      <x v="2"/>
    </i>
    <i>
      <x v="3"/>
    </i>
    <i>
      <x v="4"/>
    </i>
    <i>
      <x v="5"/>
    </i>
    <i t="grand">
      <x/>
    </i>
  </rowItems>
  <colFields count="1">
    <field x="12"/>
  </colFields>
  <colItems count="4">
    <i>
      <x/>
    </i>
    <i>
      <x v="1"/>
    </i>
    <i>
      <x v="2"/>
    </i>
    <i t="grand">
      <x/>
    </i>
  </colItems>
  <dataFields count="1">
    <dataField name="Sum of Total Sales" fld="9" baseField="0" baseItem="0"/>
  </dataFields>
  <chartFormats count="3">
    <chartFormat chart="0" format="0" series="1">
      <pivotArea type="data" outline="0" fieldPosition="0">
        <references count="2">
          <reference field="4294967294" count="1" selected="0">
            <x v="0"/>
          </reference>
          <reference field="12" count="1" selected="0">
            <x v="2"/>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A36A2E-4FEA-407B-A8F3-EDA32ED6FC4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10" firstHeaderRow="1" firstDataRow="1" firstDataCol="1"/>
  <pivotFields count="15">
    <pivotField axis="axisRow" showAll="0" sortType="descending">
      <items count="7">
        <item x="3"/>
        <item x="1"/>
        <item x="2"/>
        <item x="4"/>
        <item x="0"/>
        <item x="5"/>
        <item t="default"/>
      </items>
    </pivotField>
    <pivotField showAll="0"/>
    <pivotField numFmtId="16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x="0"/>
        <item x="1"/>
        <item x="2"/>
        <item x="3"/>
        <item x="4"/>
        <item x="5"/>
      </items>
    </pivotField>
    <pivotField showAll="0" defaultSubtotal="0"/>
  </pivotFields>
  <rowFields count="1">
    <field x="0"/>
  </rowFields>
  <rowItems count="7">
    <i>
      <x/>
    </i>
    <i>
      <x v="1"/>
    </i>
    <i>
      <x v="2"/>
    </i>
    <i>
      <x v="3"/>
    </i>
    <i>
      <x v="4"/>
    </i>
    <i>
      <x v="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648B05-1104-4225-8EC1-F32F55CEE50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9"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axis="axisRow"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EF35C5-12FF-4E4E-90C2-F672AAF34B3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5">
    <pivotField showAll="0">
      <items count="7">
        <item x="5"/>
        <item x="0"/>
        <item x="4"/>
        <item x="2"/>
        <item x="1"/>
        <item x="3"/>
        <item t="default"/>
      </items>
    </pivotField>
    <pivotField showAll="0"/>
    <pivotField numFmtId="164" showAll="0"/>
    <pivotField showAll="0"/>
    <pivotField showAll="0"/>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defaultSubtotal="0">
      <items count="6">
        <item x="0"/>
        <item x="1"/>
        <item x="2"/>
        <item x="3"/>
        <item x="4"/>
        <item x="5"/>
      </items>
    </pivotField>
    <pivotField showAll="0" defaultSubtotal="0"/>
  </pivotFields>
  <rowItems count="1">
    <i/>
  </rowItems>
  <colItems count="1">
    <i/>
  </colItems>
  <dataFields count="1">
    <dataField name="Count of Units Sold" fld="8"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D8A9C8-9D94-47F3-A8B8-0777CF336C8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G7:H10"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3"/>
    <field x="14"/>
  </rowFields>
  <rowItems count="3">
    <i>
      <x v="3"/>
    </i>
    <i r="1">
      <x v="1"/>
    </i>
    <i t="grand">
      <x/>
    </i>
  </rowItems>
  <colItems count="1">
    <i/>
  </colItems>
  <dataFields count="1">
    <dataField name="Sum of Total Sales" fld="9" baseField="0" baseItem="0" numFmtId="16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8" name="Invoice Date">
      <autoFilter ref="A1">
        <filterColumn colId="0">
          <customFilters and="1">
            <customFilter operator="greaterThanOrEqual" val="44013"/>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5688D-4DC9-4820-A511-61F5636D776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3:G45" firstHeaderRow="1" firstDataRow="1" firstDataCol="1"/>
  <pivotFields count="15">
    <pivotField showAll="0">
      <items count="7">
        <item x="5"/>
        <item x="0"/>
        <item x="4"/>
        <item x="2"/>
        <item x="1"/>
        <item x="3"/>
        <item t="default"/>
      </items>
    </pivotField>
    <pivotField showAll="0"/>
    <pivotField numFmtId="164" showAll="0"/>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8" showAll="0"/>
    <pivotField numFmtId="3" showAll="0"/>
    <pivotField numFmtId="6" showAll="0"/>
    <pivotField numFmtId="6" showAll="0"/>
    <pivotField numFmtId="9" showAll="0"/>
    <pivotField axis="axisRow" showAll="0">
      <items count="4">
        <item x="0"/>
        <item x="2"/>
        <item x="1"/>
        <item t="default"/>
      </items>
    </pivotField>
    <pivotField showAll="0" defaultSubtotal="0">
      <items count="6">
        <item x="0"/>
        <item x="1"/>
        <item x="2"/>
        <item x="3"/>
        <item x="4"/>
        <item x="5"/>
      </items>
    </pivotField>
    <pivotField showAll="0" defaultSubtotal="0"/>
  </pivotFields>
  <rowFields count="2">
    <field x="12"/>
    <field x="6"/>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26F3E-5CFE-4936-AE62-D445504D56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7:B14"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sortType="descending">
      <items count="7">
        <item x="2"/>
        <item x="3"/>
        <item x="5"/>
        <item x="0"/>
        <item x="1"/>
        <item x="4"/>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7">
    <i>
      <x/>
    </i>
    <i>
      <x v="1"/>
    </i>
    <i>
      <x v="2"/>
    </i>
    <i>
      <x v="3"/>
    </i>
    <i>
      <x v="4"/>
    </i>
    <i>
      <x v="5"/>
    </i>
    <i t="grand">
      <x/>
    </i>
  </rowItems>
  <colItems count="1">
    <i/>
  </colItems>
  <dataFields count="1">
    <dataField name="Sum of Total Sales" fld="9" baseField="6" baseItem="0"/>
  </dataFields>
  <formats count="1">
    <format dxfId="1">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40E660-5806-4BDC-9CE6-5950D0F0527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5">
    <pivotField showAll="0">
      <items count="7">
        <item x="5"/>
        <item x="0"/>
        <item x="4"/>
        <item x="2"/>
        <item x="1"/>
        <item x="3"/>
        <item t="default"/>
      </items>
    </pivotField>
    <pivotField showAll="0"/>
    <pivotField numFmtId="164" showAll="0"/>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x="0"/>
        <item x="1"/>
        <item x="2"/>
        <item x="3"/>
        <item x="4"/>
        <item x="5"/>
      </items>
    </pivotField>
    <pivotField showAll="0" defaultSubtotal="0"/>
  </pivotFields>
  <rowItems count="1">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4F6484-129E-46F7-9D1A-0DD00CC68CD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7:B24" firstHeaderRow="1" firstDataRow="1" firstDataCol="1"/>
  <pivotFields count="15">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x="0"/>
        <item x="1"/>
        <item x="2"/>
        <item x="3"/>
        <item x="4"/>
        <item x="5"/>
      </items>
    </pivotField>
    <pivotField showAll="0" defaultSubtotal="0"/>
  </pivotFields>
  <rowFields count="1">
    <field x="0"/>
  </rowFields>
  <rowItems count="7">
    <i>
      <x v="5"/>
    </i>
    <i>
      <x v="1"/>
    </i>
    <i>
      <x v="3"/>
    </i>
    <i>
      <x v="2"/>
    </i>
    <i>
      <x/>
    </i>
    <i>
      <x v="4"/>
    </i>
    <i t="grand">
      <x/>
    </i>
  </rowItems>
  <colItems count="1">
    <i/>
  </colItems>
  <dataFields count="1">
    <dataField name="Sum of Total Sales" fld="9" baseField="0" baseItem="0" numFmtId="165"/>
  </dataFields>
  <formats count="1">
    <format dxfId="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7F3E69-C80C-41FB-826D-F50510973E1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7:E21" firstHeaderRow="1" firstDataRow="1" firstDataCol="1"/>
  <pivotFields count="15">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sortType="descending">
      <items count="4">
        <item x="1"/>
        <item x="2"/>
        <item x="0"/>
        <item t="default"/>
      </items>
    </pivotField>
    <pivotField showAll="0" defaultSubtotal="0">
      <items count="6">
        <item x="0"/>
        <item x="1"/>
        <item x="2"/>
        <item x="3"/>
        <item x="4"/>
        <item x="5"/>
      </items>
    </pivotField>
    <pivotField showAll="0" defaultSubtotal="0"/>
  </pivotFields>
  <rowFields count="1">
    <field x="12"/>
  </rowFields>
  <rowItems count="4">
    <i>
      <x/>
    </i>
    <i>
      <x v="1"/>
    </i>
    <i>
      <x v="2"/>
    </i>
    <i t="grand">
      <x/>
    </i>
  </rowItems>
  <colItems count="1">
    <i/>
  </colItems>
  <dataFields count="1">
    <dataField name="Sum of Total Sales" fld="9" baseField="0"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3D5AEC-C167-4724-864F-000C00CEC82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7:E13" firstHeaderRow="1" firstDataRow="1" firstDataCol="1"/>
  <pivotFields count="15">
    <pivotField showAll="0">
      <items count="7">
        <item x="5"/>
        <item x="0"/>
        <item x="4"/>
        <item x="2"/>
        <item x="1"/>
        <item x="3"/>
        <item t="default"/>
      </items>
    </pivotField>
    <pivotField showAll="0"/>
    <pivotField numFmtId="164" showAll="0"/>
    <pivotField axis="axisRow"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Total Sales" fld="9" baseField="0" baseItem="0" numFmtId="165"/>
  </dataFields>
  <formats count="1">
    <format dxfId="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020C7A-53AF-4667-AF97-74EF5B51A23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5">
    <pivotField showAll="0">
      <items count="7">
        <item x="5"/>
        <item x="0"/>
        <item x="4"/>
        <item x="2"/>
        <item x="1"/>
        <item x="3"/>
        <item t="default"/>
      </items>
    </pivotField>
    <pivotField showAll="0"/>
    <pivotField numFmtId="164" showAll="0"/>
    <pivotField showAll="0"/>
    <pivotField showAll="0"/>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pivotField showAll="0" defaultSubtotal="0">
      <items count="6">
        <item x="0"/>
        <item x="1"/>
        <item x="2"/>
        <item x="3"/>
        <item x="4"/>
        <item x="5"/>
      </items>
    </pivotField>
    <pivotField showAll="0" defaultSubtotal="0"/>
  </pivotFields>
  <rowItems count="1">
    <i/>
  </rowItems>
  <colItems count="1">
    <i/>
  </colItems>
  <dataFields count="1">
    <dataField name="Sum of Operating Profit" fld="10"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92E338-960E-493F-881E-81B691EAE10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5">
    <pivotField showAll="0">
      <items count="7">
        <item x="5"/>
        <item x="0"/>
        <item x="4"/>
        <item x="2"/>
        <item x="1"/>
        <item x="3"/>
        <item t="default"/>
      </items>
    </pivotField>
    <pivotField showAll="0"/>
    <pivotField numFmtId="164" showAll="0"/>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x="0"/>
        <item x="1"/>
        <item x="2"/>
        <item x="3"/>
        <item x="4"/>
        <item x="5"/>
      </items>
    </pivotField>
    <pivotField showAll="0" defaultSubtotal="0"/>
  </pivotFields>
  <rowItems count="1">
    <i/>
  </rowItems>
  <colItems count="1">
    <i/>
  </colItems>
  <dataFields count="1">
    <dataField name="Sum of Total Sales" fld="9"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D698189-0439-411E-A3D7-44D9C2AC348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4:E61" firstHeaderRow="1" firstDataRow="1" firstDataCol="1"/>
  <pivotFields count="15">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axis="axisRow" showAll="0" sortType="descending">
      <items count="6">
        <item x="2"/>
        <item x="4"/>
        <item x="1"/>
        <item x="0"/>
        <item x="3"/>
        <item t="default"/>
      </items>
    </pivotField>
    <pivotField showAll="0"/>
    <pivotField showAll="0"/>
    <pivotField axis="axisRow" showAll="0" sortType="descending">
      <items count="7">
        <item x="2"/>
        <item x="3"/>
        <item x="5"/>
        <item x="0"/>
        <item x="1"/>
        <item x="4"/>
        <item t="default"/>
      </items>
    </pivotField>
    <pivotField numFmtId="8" showAll="0"/>
    <pivotField numFmtId="3" showAll="0"/>
    <pivotField dataField="1" numFmtId="6" showAll="0"/>
    <pivotField numFmtId="6" showAll="0"/>
    <pivotField numFmtId="9" showAll="0"/>
    <pivotField showAll="0" sortType="descending">
      <items count="4">
        <item x="1"/>
        <item x="2"/>
        <item x="0"/>
        <item t="default"/>
      </items>
    </pivotField>
    <pivotField showAll="0" defaultSubtotal="0">
      <items count="6">
        <item x="0"/>
        <item x="1"/>
        <item x="2"/>
        <item x="3"/>
        <item x="4"/>
        <item x="5"/>
      </items>
    </pivotField>
    <pivotField showAll="0" defaultSubtotal="0"/>
  </pivotFields>
  <rowFields count="2">
    <field x="6"/>
    <field x="3"/>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Sum of Total Sales" fld="9"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BD78D0-8365-45F2-A1FB-E4DB4CBC303F}" sourceName="Region">
  <pivotTables>
    <pivotTable tabId="15" name="PivotTable2"/>
  </pivotTables>
  <data>
    <tabular pivotCacheId="154327790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0CA64D-ED50-4720-97B4-2BE252E57E3C}" sourceName="Product">
  <pivotTables>
    <pivotTable tabId="15" name="PivotTable2"/>
    <pivotTable tabId="15" name="PivotTable1"/>
    <pivotTable tabId="15" name="PivotTable10"/>
    <pivotTable tabId="15" name="PivotTable11"/>
    <pivotTable tabId="15" name="PivotTable3"/>
    <pivotTable tabId="15" name="PivotTable4"/>
    <pivotTable tabId="15" name="PivotTable5"/>
    <pivotTable tabId="15" name="PivotTable6"/>
    <pivotTable tabId="15" name="PivotTable7"/>
    <pivotTable tabId="15" name="PivotTable8"/>
    <pivotTable tabId="15" name="PivotTable9"/>
    <pivotTable tabId="8" name="PivotTable10"/>
    <pivotTable tabId="8" name="PivotTable13"/>
    <pivotTable tabId="8" name="PivotTable16"/>
    <pivotTable tabId="8" name="PivotTable8"/>
    <pivotTable tabId="10" name="PivotTable11"/>
  </pivotTables>
  <data>
    <tabular pivotCacheId="1543277902">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C35BF00-73E2-48C7-A374-329460CCC4E8}" sourceName="Retailer">
  <pivotTables>
    <pivotTable tabId="15" name="PivotTable2"/>
    <pivotTable tabId="15" name="PivotTable1"/>
    <pivotTable tabId="15" name="PivotTable10"/>
    <pivotTable tabId="15" name="PivotTable11"/>
    <pivotTable tabId="15" name="PivotTable3"/>
    <pivotTable tabId="15" name="PivotTable4"/>
    <pivotTable tabId="15" name="PivotTable5"/>
    <pivotTable tabId="15" name="PivotTable6"/>
    <pivotTable tabId="15" name="PivotTable7"/>
    <pivotTable tabId="15" name="PivotTable8"/>
    <pivotTable tabId="15" name="PivotTable9"/>
    <pivotTable tabId="8" name="PivotTable10"/>
    <pivotTable tabId="8" name="PivotTable13"/>
    <pivotTable tabId="8" name="PivotTable16"/>
    <pivotTable tabId="8" name="PivotTable8"/>
    <pivotTable tabId="10" name="PivotTable11"/>
  </pivotTables>
  <data>
    <tabular pivotCacheId="1543277902">
      <items count="6">
        <i x="5" s="1"/>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B30D65B-3A22-41CE-911E-FDD79B2CE5F1}" sourceName="Sales Method">
  <pivotTables>
    <pivotTable tabId="15" name="PivotTable2"/>
  </pivotTables>
  <data>
    <tabular pivotCacheId="154327790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FF565F8-618F-4F0D-80FD-F9FEC473BAD9}" sourceName="Region">
  <pivotTables>
    <pivotTable tabId="15" name="PivotTable3"/>
  </pivotTables>
  <data>
    <tabular pivotCacheId="1543277902">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A74FBE-14C0-404A-85C2-FBFCCB11A747}" cache="Slicer_Region" caption="Region" rowHeight="241300"/>
  <slicer name="Product" xr10:uid="{802C91A5-87F9-410E-A4B4-66A558A5726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A5A8FB-3EFD-4D48-A268-F46CB1457692}" cache="Slicer_Product" caption="Product" rowHeight="241300"/>
  <slicer name="Retailer" xr10:uid="{7B5C907A-B1E9-4DF1-B92B-C0BF790BA152}" cache="Slicer_Retailer" caption="Retailer" startItem="2" rowHeight="241300"/>
  <slicer name="Sales Method" xr10:uid="{35C0B340-35FB-43AD-BBE8-9D36610AD70C}" cache="Slicer_Sales_Method" caption="Sales Method" rowHeight="241300"/>
  <slicer name="Region 1" xr10:uid="{1814C45E-0DF1-46FC-8853-EA09107F20E6}" cache="Slicer_Region1" caption="Region"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8A4B6990-D103-48C6-9457-5F8FEF87D406}" sourceName="Invoice Date">
  <pivotTables>
    <pivotTable tabId="15" name="PivotTable4"/>
  </pivotTables>
  <state minimalRefreshVersion="6" lastRefreshVersion="6" pivotCacheId="1543277902" filterType="dateBetween">
    <selection startDate="2020-07-01T00:00:00" endDate="2020-09-30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C315F0B-5BF1-46DF-BAB9-B22A35ED17AC}" cache="NativeTimeline_Invoice_Date" caption="Invoice Date" level="1" selectionLevel="1" scrollPosition="2020-07-3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C4FC-DBB3-4961-A1AB-41D919DF2B31}">
  <dimension ref="A3:B28"/>
  <sheetViews>
    <sheetView workbookViewId="0">
      <selection activeCell="M7" sqref="M7"/>
    </sheetView>
  </sheetViews>
  <sheetFormatPr defaultRowHeight="15"/>
  <cols>
    <col min="1" max="1" width="13.140625" bestFit="1" customWidth="1"/>
    <col min="2" max="2" width="17.28515625" bestFit="1" customWidth="1"/>
  </cols>
  <sheetData>
    <row r="3" spans="1:2">
      <c r="A3" s="11" t="s">
        <v>135</v>
      </c>
      <c r="B3" t="s">
        <v>137</v>
      </c>
    </row>
    <row r="4" spans="1:2">
      <c r="A4" s="15" t="s">
        <v>139</v>
      </c>
      <c r="B4" s="13">
        <v>71479142</v>
      </c>
    </row>
    <row r="5" spans="1:2">
      <c r="A5" s="14" t="s">
        <v>138</v>
      </c>
      <c r="B5" s="13">
        <v>71479142</v>
      </c>
    </row>
    <row r="6" spans="1:2">
      <c r="A6" s="15" t="s">
        <v>140</v>
      </c>
      <c r="B6" s="13">
        <v>61100153</v>
      </c>
    </row>
    <row r="7" spans="1:2">
      <c r="A7" s="14" t="s">
        <v>138</v>
      </c>
      <c r="B7" s="13">
        <v>61100153</v>
      </c>
    </row>
    <row r="8" spans="1:2">
      <c r="A8" s="15" t="s">
        <v>141</v>
      </c>
      <c r="B8" s="13">
        <v>56809109</v>
      </c>
    </row>
    <row r="9" spans="1:2">
      <c r="A9" s="14" t="s">
        <v>138</v>
      </c>
      <c r="B9" s="13">
        <v>56809109</v>
      </c>
    </row>
    <row r="10" spans="1:2">
      <c r="A10" s="15" t="s">
        <v>143</v>
      </c>
      <c r="B10" s="13">
        <v>72339970</v>
      </c>
    </row>
    <row r="11" spans="1:2">
      <c r="A11" s="14" t="s">
        <v>142</v>
      </c>
      <c r="B11" s="13">
        <v>72339970</v>
      </c>
    </row>
    <row r="12" spans="1:2">
      <c r="A12" s="15" t="s">
        <v>144</v>
      </c>
      <c r="B12" s="13">
        <v>80507695</v>
      </c>
    </row>
    <row r="13" spans="1:2">
      <c r="A13" s="14" t="s">
        <v>142</v>
      </c>
      <c r="B13" s="13">
        <v>80507695</v>
      </c>
    </row>
    <row r="14" spans="1:2">
      <c r="A14" s="15" t="s">
        <v>145</v>
      </c>
      <c r="B14" s="13">
        <v>74747372</v>
      </c>
    </row>
    <row r="15" spans="1:2">
      <c r="A15" s="14" t="s">
        <v>142</v>
      </c>
      <c r="B15" s="13">
        <v>74747372</v>
      </c>
    </row>
    <row r="16" spans="1:2">
      <c r="A16" s="15" t="s">
        <v>147</v>
      </c>
      <c r="B16" s="13">
        <v>95480694</v>
      </c>
    </row>
    <row r="17" spans="1:2">
      <c r="A17" s="14" t="s">
        <v>146</v>
      </c>
      <c r="B17" s="13">
        <v>95480694</v>
      </c>
    </row>
    <row r="18" spans="1:2">
      <c r="A18" s="15" t="s">
        <v>148</v>
      </c>
      <c r="B18" s="13">
        <v>92166201</v>
      </c>
    </row>
    <row r="19" spans="1:2">
      <c r="A19" s="14" t="s">
        <v>146</v>
      </c>
      <c r="B19" s="13">
        <v>92166201</v>
      </c>
    </row>
    <row r="20" spans="1:2">
      <c r="A20" s="15" t="s">
        <v>149</v>
      </c>
      <c r="B20" s="13">
        <v>77661459</v>
      </c>
    </row>
    <row r="21" spans="1:2">
      <c r="A21" s="14" t="s">
        <v>146</v>
      </c>
      <c r="B21" s="13">
        <v>77661459</v>
      </c>
    </row>
    <row r="22" spans="1:2">
      <c r="A22" s="15" t="s">
        <v>151</v>
      </c>
      <c r="B22" s="13">
        <v>63911033</v>
      </c>
    </row>
    <row r="23" spans="1:2">
      <c r="A23" s="14" t="s">
        <v>150</v>
      </c>
      <c r="B23" s="13">
        <v>63911033</v>
      </c>
    </row>
    <row r="24" spans="1:2">
      <c r="A24" s="15" t="s">
        <v>152</v>
      </c>
      <c r="B24" s="13">
        <v>67857340</v>
      </c>
    </row>
    <row r="25" spans="1:2">
      <c r="A25" s="14" t="s">
        <v>150</v>
      </c>
      <c r="B25" s="13">
        <v>67857340</v>
      </c>
    </row>
    <row r="26" spans="1:2">
      <c r="A26" s="15" t="s">
        <v>153</v>
      </c>
      <c r="B26" s="13">
        <v>85841957</v>
      </c>
    </row>
    <row r="27" spans="1:2">
      <c r="A27" s="14" t="s">
        <v>150</v>
      </c>
      <c r="B27" s="13">
        <v>85841957</v>
      </c>
    </row>
    <row r="28" spans="1:2">
      <c r="A28" s="15" t="s">
        <v>136</v>
      </c>
      <c r="B28" s="13">
        <v>899902125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9886-7FB4-423A-B5E4-2AD2332DE5ED}">
  <dimension ref="A2:I21"/>
  <sheetViews>
    <sheetView topLeftCell="A6" workbookViewId="0">
      <selection activeCell="B8" sqref="B8"/>
    </sheetView>
  </sheetViews>
  <sheetFormatPr defaultRowHeight="15"/>
  <cols>
    <col min="1" max="1" width="26.140625" bestFit="1" customWidth="1"/>
    <col min="2" max="2" width="17.28515625" bestFit="1" customWidth="1"/>
    <col min="3" max="4" width="10" bestFit="1" customWidth="1"/>
    <col min="5" max="5" width="11.28515625" bestFit="1" customWidth="1"/>
    <col min="6" max="6" width="17.28515625" bestFit="1" customWidth="1"/>
    <col min="8" max="8" width="13.140625" bestFit="1" customWidth="1"/>
    <col min="9" max="9" width="17.28515625" bestFit="1" customWidth="1"/>
  </cols>
  <sheetData>
    <row r="2" spans="1:9">
      <c r="A2" t="s">
        <v>154</v>
      </c>
      <c r="E2" t="s">
        <v>155</v>
      </c>
      <c r="H2" t="s">
        <v>156</v>
      </c>
    </row>
    <row r="3" spans="1:9">
      <c r="A3" s="11" t="s">
        <v>135</v>
      </c>
      <c r="B3" t="s">
        <v>137</v>
      </c>
      <c r="E3" s="11" t="s">
        <v>135</v>
      </c>
      <c r="F3" t="s">
        <v>137</v>
      </c>
      <c r="H3" s="11" t="s">
        <v>135</v>
      </c>
      <c r="I3" t="s">
        <v>137</v>
      </c>
    </row>
    <row r="4" spans="1:9">
      <c r="A4" s="12" t="s">
        <v>22</v>
      </c>
      <c r="B4" s="13">
        <v>123728632</v>
      </c>
      <c r="E4" s="12" t="s">
        <v>31</v>
      </c>
      <c r="F4" s="13">
        <v>269943182</v>
      </c>
      <c r="H4" s="12" t="s">
        <v>30</v>
      </c>
      <c r="I4" s="13">
        <v>242964333</v>
      </c>
    </row>
    <row r="5" spans="1:9">
      <c r="A5" s="12" t="s">
        <v>19</v>
      </c>
      <c r="B5" s="13">
        <v>153673680</v>
      </c>
      <c r="E5" s="12" t="s">
        <v>48</v>
      </c>
      <c r="F5" s="13">
        <v>163171236</v>
      </c>
      <c r="H5" s="12" t="s">
        <v>25</v>
      </c>
      <c r="I5" s="13">
        <v>74558410</v>
      </c>
    </row>
    <row r="6" spans="1:9">
      <c r="A6" s="12" t="s">
        <v>17</v>
      </c>
      <c r="B6" s="13">
        <v>208826244</v>
      </c>
      <c r="E6" s="12" t="s">
        <v>27</v>
      </c>
      <c r="F6" s="13">
        <v>144663181</v>
      </c>
      <c r="H6" s="12" t="s">
        <v>26</v>
      </c>
      <c r="I6" s="13">
        <v>182470997</v>
      </c>
    </row>
    <row r="7" spans="1:9">
      <c r="A7" s="12" t="s">
        <v>23</v>
      </c>
      <c r="B7" s="13">
        <v>179038860</v>
      </c>
      <c r="E7" s="12" t="s">
        <v>15</v>
      </c>
      <c r="F7" s="13">
        <v>186324067</v>
      </c>
      <c r="H7" s="12" t="s">
        <v>34</v>
      </c>
      <c r="I7" s="13">
        <v>102114753</v>
      </c>
    </row>
    <row r="8" spans="1:9">
      <c r="A8" s="12" t="s">
        <v>21</v>
      </c>
      <c r="B8" s="13">
        <v>106631896</v>
      </c>
      <c r="E8" s="12" t="s">
        <v>36</v>
      </c>
      <c r="F8" s="13">
        <v>135800459</v>
      </c>
      <c r="H8" s="12" t="s">
        <v>14</v>
      </c>
      <c r="I8" s="13">
        <v>220094720</v>
      </c>
    </row>
    <row r="9" spans="1:9">
      <c r="A9" s="12" t="s">
        <v>20</v>
      </c>
      <c r="B9" s="13">
        <v>128002813</v>
      </c>
      <c r="E9" s="12" t="s">
        <v>136</v>
      </c>
      <c r="F9" s="13">
        <v>899902125</v>
      </c>
      <c r="H9" s="12" t="s">
        <v>61</v>
      </c>
      <c r="I9" s="13">
        <v>77698912</v>
      </c>
    </row>
    <row r="10" spans="1:9">
      <c r="A10" s="12" t="s">
        <v>136</v>
      </c>
      <c r="B10" s="13">
        <v>899902125</v>
      </c>
      <c r="H10" s="12" t="s">
        <v>136</v>
      </c>
      <c r="I10" s="13">
        <v>899902125</v>
      </c>
    </row>
    <row r="12" spans="1:9">
      <c r="A12" s="12" t="s">
        <v>157</v>
      </c>
    </row>
    <row r="13" spans="1:9">
      <c r="A13" s="11" t="s">
        <v>137</v>
      </c>
      <c r="B13" s="11" t="s">
        <v>158</v>
      </c>
    </row>
    <row r="14" spans="1:9">
      <c r="A14" s="11" t="s">
        <v>135</v>
      </c>
      <c r="B14" s="16" t="s">
        <v>24</v>
      </c>
      <c r="C14" s="16" t="s">
        <v>83</v>
      </c>
      <c r="D14" s="16" t="s">
        <v>18</v>
      </c>
      <c r="E14" s="16" t="s">
        <v>136</v>
      </c>
    </row>
    <row r="15" spans="1:9">
      <c r="A15" s="12" t="s">
        <v>30</v>
      </c>
      <c r="B15" s="13">
        <v>45705692</v>
      </c>
      <c r="C15" s="13">
        <v>40532141</v>
      </c>
      <c r="D15" s="13">
        <v>156726500</v>
      </c>
      <c r="E15" s="13">
        <v>242964333</v>
      </c>
    </row>
    <row r="16" spans="1:9">
      <c r="A16" s="12" t="s">
        <v>25</v>
      </c>
      <c r="B16" s="13">
        <v>43077666</v>
      </c>
      <c r="C16" s="13">
        <v>15069494</v>
      </c>
      <c r="D16" s="13">
        <v>16411250</v>
      </c>
      <c r="E16" s="13">
        <v>74558410</v>
      </c>
    </row>
    <row r="17" spans="1:5">
      <c r="A17" s="12" t="s">
        <v>26</v>
      </c>
      <c r="B17" s="13">
        <v>68196500</v>
      </c>
      <c r="C17" s="13">
        <v>59225997</v>
      </c>
      <c r="D17" s="13">
        <v>55048500</v>
      </c>
      <c r="E17" s="13">
        <v>182470997</v>
      </c>
    </row>
    <row r="18" spans="1:5">
      <c r="A18" s="12" t="s">
        <v>34</v>
      </c>
      <c r="B18" s="13">
        <v>41556274</v>
      </c>
      <c r="C18" s="13">
        <v>30992229</v>
      </c>
      <c r="D18" s="13">
        <v>29566250</v>
      </c>
      <c r="E18" s="13">
        <v>102114753</v>
      </c>
    </row>
    <row r="19" spans="1:5">
      <c r="A19" s="12" t="s">
        <v>14</v>
      </c>
      <c r="B19" s="13">
        <v>70626430</v>
      </c>
      <c r="C19" s="13">
        <v>72943290</v>
      </c>
      <c r="D19" s="13">
        <v>76525000</v>
      </c>
      <c r="E19" s="13">
        <v>220094720</v>
      </c>
    </row>
    <row r="20" spans="1:5">
      <c r="A20" s="12" t="s">
        <v>61</v>
      </c>
      <c r="B20" s="13">
        <v>26422931</v>
      </c>
      <c r="C20" s="13">
        <v>28909731</v>
      </c>
      <c r="D20" s="13">
        <v>22366250</v>
      </c>
      <c r="E20" s="13">
        <v>77698912</v>
      </c>
    </row>
    <row r="21" spans="1:5">
      <c r="A21" s="12" t="s">
        <v>136</v>
      </c>
      <c r="B21" s="13">
        <v>295585493</v>
      </c>
      <c r="C21" s="13">
        <v>247672882</v>
      </c>
      <c r="D21" s="13">
        <v>356643750</v>
      </c>
      <c r="E21" s="13">
        <v>899902125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2669-C84E-42D0-9F28-3D27A2A94259}">
  <dimension ref="A3:H61"/>
  <sheetViews>
    <sheetView workbookViewId="0">
      <selection activeCell="D9" sqref="D9"/>
    </sheetView>
  </sheetViews>
  <sheetFormatPr defaultRowHeight="15"/>
  <cols>
    <col min="1" max="1" width="13.140625" bestFit="1" customWidth="1"/>
    <col min="2" max="2" width="17.28515625" bestFit="1" customWidth="1"/>
    <col min="3" max="3" width="22.28515625" bestFit="1" customWidth="1"/>
    <col min="4" max="4" width="13.140625" bestFit="1" customWidth="1"/>
    <col min="5" max="6" width="17.28515625" bestFit="1" customWidth="1"/>
    <col min="7" max="7" width="22.28515625" bestFit="1" customWidth="1"/>
    <col min="8" max="8" width="17.28515625" bestFit="1" customWidth="1"/>
    <col min="9" max="9" width="23.28515625" bestFit="1" customWidth="1"/>
    <col min="10" max="10" width="21.7109375" bestFit="1" customWidth="1"/>
    <col min="11" max="11" width="17.28515625" bestFit="1" customWidth="1"/>
    <col min="12" max="12" width="26.42578125" bestFit="1" customWidth="1"/>
    <col min="13" max="13" width="24.7109375" bestFit="1" customWidth="1"/>
    <col min="14" max="14" width="11.28515625" bestFit="1" customWidth="1"/>
  </cols>
  <sheetData>
    <row r="3" spans="1:8">
      <c r="A3" t="s">
        <v>137</v>
      </c>
      <c r="B3" s="19" t="s">
        <v>162</v>
      </c>
      <c r="D3" t="s">
        <v>160</v>
      </c>
      <c r="E3" t="s">
        <v>137</v>
      </c>
      <c r="G3" t="s">
        <v>161</v>
      </c>
    </row>
    <row r="4" spans="1:8">
      <c r="A4" s="13">
        <v>899902125</v>
      </c>
      <c r="B4" s="20">
        <f>GETPIVOTDATA("Operating Profit",$G$3)/GETPIVOTDATA("Total Sales",$A$3)</f>
        <v>0.36907876114860699</v>
      </c>
      <c r="D4" s="13">
        <v>9648</v>
      </c>
      <c r="E4" s="18">
        <v>899902125</v>
      </c>
      <c r="G4" s="17">
        <v>332134761.44999886</v>
      </c>
    </row>
    <row r="7" spans="1:8">
      <c r="A7" s="11" t="s">
        <v>135</v>
      </c>
      <c r="B7" t="s">
        <v>137</v>
      </c>
      <c r="D7" s="11" t="s">
        <v>135</v>
      </c>
      <c r="E7" t="s">
        <v>137</v>
      </c>
      <c r="G7" s="11" t="s">
        <v>135</v>
      </c>
      <c r="H7" t="s">
        <v>137</v>
      </c>
    </row>
    <row r="8" spans="1:8">
      <c r="A8" s="12" t="s">
        <v>20</v>
      </c>
      <c r="B8" s="18">
        <v>128002813</v>
      </c>
      <c r="D8" s="12" t="s">
        <v>31</v>
      </c>
      <c r="E8" s="18">
        <v>269943182</v>
      </c>
      <c r="G8" s="12" t="s">
        <v>146</v>
      </c>
      <c r="H8" s="18"/>
    </row>
    <row r="9" spans="1:8">
      <c r="A9" s="12" t="s">
        <v>21</v>
      </c>
      <c r="B9" s="18">
        <v>106631896</v>
      </c>
      <c r="D9" s="12" t="s">
        <v>48</v>
      </c>
      <c r="E9" s="18">
        <v>163171236</v>
      </c>
      <c r="G9" s="14" t="s">
        <v>159</v>
      </c>
      <c r="H9" s="18">
        <v>55328429</v>
      </c>
    </row>
    <row r="10" spans="1:8">
      <c r="A10" s="12" t="s">
        <v>23</v>
      </c>
      <c r="B10" s="18">
        <v>179038860</v>
      </c>
      <c r="D10" s="12" t="s">
        <v>27</v>
      </c>
      <c r="E10" s="18">
        <v>144663181</v>
      </c>
      <c r="G10" s="12" t="s">
        <v>136</v>
      </c>
      <c r="H10" s="18">
        <v>55328429</v>
      </c>
    </row>
    <row r="11" spans="1:8">
      <c r="A11" s="12" t="s">
        <v>17</v>
      </c>
      <c r="B11" s="18">
        <v>208826244</v>
      </c>
      <c r="D11" s="12" t="s">
        <v>15</v>
      </c>
      <c r="E11" s="18">
        <v>186324067</v>
      </c>
    </row>
    <row r="12" spans="1:8">
      <c r="A12" s="12" t="s">
        <v>19</v>
      </c>
      <c r="B12" s="18">
        <v>153673680</v>
      </c>
      <c r="D12" s="12" t="s">
        <v>36</v>
      </c>
      <c r="E12" s="18">
        <v>135800459</v>
      </c>
    </row>
    <row r="13" spans="1:8">
      <c r="A13" s="12" t="s">
        <v>22</v>
      </c>
      <c r="B13" s="18">
        <v>123728632</v>
      </c>
      <c r="D13" s="12" t="s">
        <v>136</v>
      </c>
      <c r="E13" s="18">
        <v>899902125</v>
      </c>
    </row>
    <row r="14" spans="1:8">
      <c r="A14" s="12" t="s">
        <v>136</v>
      </c>
      <c r="B14" s="18">
        <v>899902125</v>
      </c>
    </row>
    <row r="17" spans="1:7">
      <c r="A17" s="11" t="s">
        <v>135</v>
      </c>
      <c r="B17" t="s">
        <v>137</v>
      </c>
      <c r="D17" s="11" t="s">
        <v>135</v>
      </c>
      <c r="E17" t="s">
        <v>137</v>
      </c>
    </row>
    <row r="18" spans="1:7">
      <c r="A18" s="12" t="s">
        <v>30</v>
      </c>
      <c r="B18" s="18">
        <v>242964333</v>
      </c>
      <c r="D18" s="12" t="s">
        <v>24</v>
      </c>
      <c r="E18" s="18">
        <v>295585493</v>
      </c>
    </row>
    <row r="19" spans="1:7">
      <c r="A19" s="12" t="s">
        <v>14</v>
      </c>
      <c r="B19" s="18">
        <v>220094720</v>
      </c>
      <c r="D19" s="12" t="s">
        <v>83</v>
      </c>
      <c r="E19" s="18">
        <v>247672882</v>
      </c>
    </row>
    <row r="20" spans="1:7">
      <c r="A20" s="12" t="s">
        <v>26</v>
      </c>
      <c r="B20" s="18">
        <v>182470997</v>
      </c>
      <c r="D20" s="12" t="s">
        <v>18</v>
      </c>
      <c r="E20" s="18">
        <v>356643750</v>
      </c>
    </row>
    <row r="21" spans="1:7">
      <c r="A21" s="12" t="s">
        <v>34</v>
      </c>
      <c r="B21" s="18">
        <v>102114753</v>
      </c>
      <c r="D21" s="12" t="s">
        <v>136</v>
      </c>
      <c r="E21" s="18">
        <v>899902125</v>
      </c>
    </row>
    <row r="22" spans="1:7">
      <c r="A22" s="12" t="s">
        <v>61</v>
      </c>
      <c r="B22" s="18">
        <v>77698912</v>
      </c>
    </row>
    <row r="23" spans="1:7">
      <c r="A23" s="12" t="s">
        <v>25</v>
      </c>
      <c r="B23" s="18">
        <v>74558410</v>
      </c>
      <c r="G23" s="11" t="s">
        <v>135</v>
      </c>
    </row>
    <row r="24" spans="1:7">
      <c r="A24" s="12" t="s">
        <v>136</v>
      </c>
      <c r="B24" s="18">
        <v>899902125</v>
      </c>
      <c r="D24" s="11" t="s">
        <v>135</v>
      </c>
      <c r="E24" t="s">
        <v>137</v>
      </c>
      <c r="G24" s="12" t="s">
        <v>18</v>
      </c>
    </row>
    <row r="25" spans="1:7">
      <c r="D25" s="12" t="s">
        <v>20</v>
      </c>
      <c r="E25" s="18">
        <v>128002813</v>
      </c>
      <c r="G25" s="14" t="s">
        <v>22</v>
      </c>
    </row>
    <row r="26" spans="1:7">
      <c r="D26" s="14" t="s">
        <v>31</v>
      </c>
      <c r="E26" s="18">
        <v>42520111</v>
      </c>
      <c r="G26" s="14" t="s">
        <v>19</v>
      </c>
    </row>
    <row r="27" spans="1:7">
      <c r="D27" s="14" t="s">
        <v>48</v>
      </c>
      <c r="E27" s="18">
        <v>23119534</v>
      </c>
      <c r="G27" s="14" t="s">
        <v>17</v>
      </c>
    </row>
    <row r="28" spans="1:7">
      <c r="D28" s="14" t="s">
        <v>27</v>
      </c>
      <c r="E28" s="18">
        <v>22777097</v>
      </c>
      <c r="G28" s="14" t="s">
        <v>23</v>
      </c>
    </row>
    <row r="29" spans="1:7">
      <c r="D29" s="14" t="s">
        <v>15</v>
      </c>
      <c r="E29" s="18">
        <v>23341173</v>
      </c>
      <c r="G29" s="14" t="s">
        <v>21</v>
      </c>
    </row>
    <row r="30" spans="1:7">
      <c r="D30" s="14" t="s">
        <v>36</v>
      </c>
      <c r="E30" s="18">
        <v>16244898</v>
      </c>
      <c r="G30" s="14" t="s">
        <v>20</v>
      </c>
    </row>
    <row r="31" spans="1:7">
      <c r="D31" s="12" t="s">
        <v>21</v>
      </c>
      <c r="E31" s="18">
        <v>106631896</v>
      </c>
      <c r="G31" s="12" t="s">
        <v>83</v>
      </c>
    </row>
    <row r="32" spans="1:7">
      <c r="D32" s="14" t="s">
        <v>31</v>
      </c>
      <c r="E32" s="18">
        <v>34517070</v>
      </c>
      <c r="G32" s="14" t="s">
        <v>22</v>
      </c>
    </row>
    <row r="33" spans="4:7">
      <c r="D33" s="14" t="s">
        <v>48</v>
      </c>
      <c r="E33" s="18">
        <v>20302798</v>
      </c>
      <c r="G33" s="14" t="s">
        <v>19</v>
      </c>
    </row>
    <row r="34" spans="4:7">
      <c r="D34" s="14" t="s">
        <v>27</v>
      </c>
      <c r="E34" s="18">
        <v>18420722</v>
      </c>
      <c r="G34" s="14" t="s">
        <v>17</v>
      </c>
    </row>
    <row r="35" spans="4:7">
      <c r="D35" s="14" t="s">
        <v>15</v>
      </c>
      <c r="E35" s="18">
        <v>19796138</v>
      </c>
      <c r="G35" s="14" t="s">
        <v>23</v>
      </c>
    </row>
    <row r="36" spans="4:7">
      <c r="D36" s="14" t="s">
        <v>36</v>
      </c>
      <c r="E36" s="18">
        <v>13595168</v>
      </c>
      <c r="G36" s="14" t="s">
        <v>21</v>
      </c>
    </row>
    <row r="37" spans="4:7">
      <c r="D37" s="12" t="s">
        <v>23</v>
      </c>
      <c r="E37" s="18">
        <v>179038860</v>
      </c>
      <c r="G37" s="14" t="s">
        <v>20</v>
      </c>
    </row>
    <row r="38" spans="4:7">
      <c r="D38" s="14" t="s">
        <v>31</v>
      </c>
      <c r="E38" s="18">
        <v>52191046</v>
      </c>
      <c r="G38" s="12" t="s">
        <v>24</v>
      </c>
    </row>
    <row r="39" spans="4:7">
      <c r="D39" s="14" t="s">
        <v>48</v>
      </c>
      <c r="E39" s="18">
        <v>31491161</v>
      </c>
      <c r="G39" s="14" t="s">
        <v>22</v>
      </c>
    </row>
    <row r="40" spans="4:7">
      <c r="D40" s="14" t="s">
        <v>27</v>
      </c>
      <c r="E40" s="18">
        <v>29607187</v>
      </c>
      <c r="G40" s="14" t="s">
        <v>19</v>
      </c>
    </row>
    <row r="41" spans="4:7">
      <c r="D41" s="14" t="s">
        <v>15</v>
      </c>
      <c r="E41" s="18">
        <v>37543083</v>
      </c>
      <c r="G41" s="14" t="s">
        <v>17</v>
      </c>
    </row>
    <row r="42" spans="4:7">
      <c r="D42" s="14" t="s">
        <v>36</v>
      </c>
      <c r="E42" s="18">
        <v>28206383</v>
      </c>
      <c r="G42" s="14" t="s">
        <v>23</v>
      </c>
    </row>
    <row r="43" spans="4:7">
      <c r="D43" s="12" t="s">
        <v>17</v>
      </c>
      <c r="E43" s="18">
        <v>208826244</v>
      </c>
      <c r="G43" s="14" t="s">
        <v>21</v>
      </c>
    </row>
    <row r="44" spans="4:7">
      <c r="D44" s="14" t="s">
        <v>31</v>
      </c>
      <c r="E44" s="18">
        <v>55014613</v>
      </c>
      <c r="G44" s="14" t="s">
        <v>20</v>
      </c>
    </row>
    <row r="45" spans="4:7">
      <c r="D45" s="14" t="s">
        <v>48</v>
      </c>
      <c r="E45" s="18">
        <v>36019236</v>
      </c>
      <c r="G45" s="12" t="s">
        <v>136</v>
      </c>
    </row>
    <row r="46" spans="4:7">
      <c r="D46" s="14" t="s">
        <v>27</v>
      </c>
      <c r="E46" s="18">
        <v>28444561</v>
      </c>
    </row>
    <row r="47" spans="4:7">
      <c r="D47" s="14" t="s">
        <v>15</v>
      </c>
      <c r="E47" s="18">
        <v>51025024</v>
      </c>
    </row>
    <row r="48" spans="4:7">
      <c r="D48" s="14" t="s">
        <v>36</v>
      </c>
      <c r="E48" s="18">
        <v>38322810</v>
      </c>
    </row>
    <row r="49" spans="4:5">
      <c r="D49" s="12" t="s">
        <v>19</v>
      </c>
      <c r="E49" s="18">
        <v>153673680</v>
      </c>
    </row>
    <row r="50" spans="4:5">
      <c r="D50" s="14" t="s">
        <v>31</v>
      </c>
      <c r="E50" s="18">
        <v>50006339</v>
      </c>
    </row>
    <row r="51" spans="4:5">
      <c r="D51" s="14" t="s">
        <v>48</v>
      </c>
      <c r="E51" s="18">
        <v>27777020</v>
      </c>
    </row>
    <row r="52" spans="4:5">
      <c r="D52" s="14" t="s">
        <v>27</v>
      </c>
      <c r="E52" s="18">
        <v>25710545</v>
      </c>
    </row>
    <row r="53" spans="4:5">
      <c r="D53" s="14" t="s">
        <v>15</v>
      </c>
      <c r="E53" s="18">
        <v>28874237</v>
      </c>
    </row>
    <row r="54" spans="4:5">
      <c r="D54" s="14" t="s">
        <v>36</v>
      </c>
      <c r="E54" s="18">
        <v>21305539</v>
      </c>
    </row>
    <row r="55" spans="4:5">
      <c r="D55" s="12" t="s">
        <v>22</v>
      </c>
      <c r="E55" s="18">
        <v>123728632</v>
      </c>
    </row>
    <row r="56" spans="4:5">
      <c r="D56" s="14" t="s">
        <v>31</v>
      </c>
      <c r="E56" s="18">
        <v>35694003</v>
      </c>
    </row>
    <row r="57" spans="4:5">
      <c r="D57" s="14" t="s">
        <v>48</v>
      </c>
      <c r="E57" s="18">
        <v>24461487</v>
      </c>
    </row>
    <row r="58" spans="4:5">
      <c r="D58" s="14" t="s">
        <v>27</v>
      </c>
      <c r="E58" s="18">
        <v>19703069</v>
      </c>
    </row>
    <row r="59" spans="4:5">
      <c r="D59" s="14" t="s">
        <v>15</v>
      </c>
      <c r="E59" s="18">
        <v>25744412</v>
      </c>
    </row>
    <row r="60" spans="4:5">
      <c r="D60" s="14" t="s">
        <v>36</v>
      </c>
      <c r="E60" s="18">
        <v>18125661</v>
      </c>
    </row>
    <row r="61" spans="4:5">
      <c r="D61" s="12" t="s">
        <v>136</v>
      </c>
      <c r="E61" s="18">
        <v>899902125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82DE2-0299-44DB-9CBD-865583E5F4FF}">
  <dimension ref="B6:K8"/>
  <sheetViews>
    <sheetView showGridLines="0" tabSelected="1" workbookViewId="0">
      <selection activeCell="H1" sqref="H1"/>
    </sheetView>
  </sheetViews>
  <sheetFormatPr defaultRowHeight="15"/>
  <cols>
    <col min="2" max="2" width="16.28515625" bestFit="1" customWidth="1"/>
    <col min="7" max="7" width="14.85546875" bestFit="1" customWidth="1"/>
  </cols>
  <sheetData>
    <row r="6" spans="2:11">
      <c r="B6" s="21"/>
    </row>
    <row r="8" spans="2:11">
      <c r="B8" s="22">
        <f>GETPIVOTDATA("Total Sales",Pivot_table!$E$3)</f>
        <v>899902125</v>
      </c>
      <c r="D8">
        <f>GETPIVOTDATA("Units Sold",Pivot_table!$D$3)</f>
        <v>9648</v>
      </c>
      <c r="G8" s="24">
        <f>GETPIVOTDATA("Operating Profit",Pivot_table!$G$3)</f>
        <v>332134761.44999886</v>
      </c>
      <c r="K8" s="23">
        <f>Pivot_table!B4</f>
        <v>0.36907876114860699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opLeftCell="B5" workbookViewId="0">
      <selection activeCell="G21" sqref="G21"/>
    </sheetView>
  </sheetViews>
  <sheetFormatPr defaultColWidth="14.42578125" defaultRowHeight="15" customHeight="1"/>
  <cols>
    <col min="1" max="1" width="2.5703125" customWidth="1"/>
    <col min="2" max="2" width="11.140625" customWidth="1"/>
    <col min="3" max="3" width="11.42578125" customWidth="1"/>
    <col min="4" max="5" width="13" customWidth="1"/>
    <col min="6" max="6" width="12.140625" customWidth="1"/>
    <col min="7" max="7" width="22.42578125" customWidth="1"/>
    <col min="8" max="8" width="23.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row r="2" spans="2:14" ht="14.25" customHeight="1">
      <c r="C2" s="25" t="s">
        <v>0</v>
      </c>
      <c r="D2" s="26"/>
      <c r="E2" s="26"/>
      <c r="F2" s="26"/>
      <c r="G2" s="26"/>
    </row>
    <row r="3" spans="2:14" ht="17.25" customHeight="1">
      <c r="B3" s="1"/>
      <c r="C3" s="27"/>
      <c r="D3" s="27"/>
      <c r="E3" s="27"/>
      <c r="F3" s="27"/>
      <c r="G3" s="27"/>
      <c r="H3" s="2"/>
      <c r="I3" s="2"/>
      <c r="J3" s="2"/>
      <c r="K3" s="2"/>
      <c r="L3" s="2"/>
      <c r="M3" s="2"/>
      <c r="N3" s="2"/>
    </row>
    <row r="4" spans="2:14" ht="14.25" customHeight="1"/>
    <row r="5" spans="2:14" ht="14.25" customHeight="1">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trend</vt:lpstr>
      <vt:lpstr>Sheet7</vt:lpstr>
      <vt:lpstr>Pivot_table</vt:lpstr>
      <vt:lpstr>Dashboard</vt:lpstr>
      <vt:lpstr>Data Sales Adidas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mutiuaisha78@gmail.com</cp:lastModifiedBy>
  <dcterms:created xsi:type="dcterms:W3CDTF">2015-06-05T18:17:20Z</dcterms:created>
  <dcterms:modified xsi:type="dcterms:W3CDTF">2026-10-11T08:59:45Z</dcterms:modified>
</cp:coreProperties>
</file>